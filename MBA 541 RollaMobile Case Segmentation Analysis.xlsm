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harts/chart13.xml" ContentType="application/vnd.openxmlformats-officedocument.drawingml.chart+xml"/>
  <Override PartName="/xl/drawings/drawing12.xml" ContentType="application/vnd.openxmlformats-officedocument.drawingml.chartshapes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harts/chart15.xml" ContentType="application/vnd.openxmlformats-officedocument.drawingml.chart+xml"/>
  <Override PartName="/xl/drawings/drawing14.xml" ContentType="application/vnd.openxmlformats-officedocument.drawingml.chartshapes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11" codeName="{A63ED3A1-9429-3D75-F2AA-CA7E51A8F3A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uryasps/Documents/College/Fall 2023/MBA 541/Case Study/Case 2/Assignment C/"/>
    </mc:Choice>
  </mc:AlternateContent>
  <xr:revisionPtr revIDLastSave="0" documentId="13_ncr:1_{9227D2BA-E19C-6045-B9F0-181A0C3699A5}" xr6:coauthVersionLast="47" xr6:coauthVersionMax="47" xr10:uidLastSave="{00000000-0000-0000-0000-000000000000}"/>
  <bookViews>
    <workbookView xWindow="0" yWindow="740" windowWidth="29400" windowHeight="16600" tabRatio="459" activeTab="3" xr2:uid="{00000000-000D-0000-FFFF-FFFF00000000}"/>
  </bookViews>
  <sheets>
    <sheet name="Dashboard" sheetId="22" r:id="rId1"/>
    <sheet name="Category&gt; Semiconductors" sheetId="68" r:id="rId2"/>
    <sheet name="Category_Template" sheetId="29" state="hidden" r:id="rId3"/>
    <sheet name="Supplier&gt; Samsung Inc." sheetId="69" r:id="rId4"/>
    <sheet name="Supplier&gt; Qualcomm Inc." sheetId="70" r:id="rId5"/>
    <sheet name="Supplier&gt; Intel Inc." sheetId="71" r:id="rId6"/>
    <sheet name="Supplier&gt; Huawei Inc." sheetId="73" r:id="rId7"/>
    <sheet name="Supplier_Template" sheetId="31" state="hidden" r:id="rId8"/>
    <sheet name="CS_Lookup" sheetId="24" state="hidden" r:id="rId9"/>
    <sheet name="SP_Lookup" sheetId="26" state="hidden" r:id="rId10"/>
    <sheet name="RM_Lookup" sheetId="42" state="hidden" r:id="rId11"/>
    <sheet name="SS_Lookup" sheetId="27" state="hidden" r:id="rId12"/>
    <sheet name="Category_Data" sheetId="55" state="hidden" r:id="rId13"/>
    <sheet name="Preference_Data" sheetId="63" state="hidden" r:id="rId14"/>
    <sheet name="Heatmap_Data" sheetId="67" state="hidden" r:id="rId15"/>
  </sheets>
  <functionGroups builtInGroupCount="19"/>
  <definedNames>
    <definedName name="ambitClientRelationship" localSheetId="12">#REF!</definedName>
    <definedName name="ambitClientRelationship" localSheetId="2">#REF!</definedName>
    <definedName name="ambitClientRelationship" localSheetId="1">#REF!</definedName>
    <definedName name="ambitClientRelationship" localSheetId="10">#REF!</definedName>
    <definedName name="ambitClientRelationship" localSheetId="7">#REF!</definedName>
    <definedName name="ambitClientRelationship" localSheetId="6">#REF!</definedName>
    <definedName name="ambitClientRelationship" localSheetId="5">#REF!</definedName>
    <definedName name="ambitClientRelationship" localSheetId="4">#REF!</definedName>
    <definedName name="ambitClientRelationship" localSheetId="3">#REF!</definedName>
    <definedName name="ambitClientRelationship">#REF!</definedName>
    <definedName name="dates" localSheetId="12">#REF!</definedName>
    <definedName name="dates" localSheetId="2">#REF!</definedName>
    <definedName name="dates" localSheetId="1">#REF!</definedName>
    <definedName name="dates" localSheetId="10">#REF!</definedName>
    <definedName name="dates" localSheetId="7">#REF!</definedName>
    <definedName name="dates" localSheetId="6">#REF!</definedName>
    <definedName name="dates" localSheetId="5">#REF!</definedName>
    <definedName name="dates" localSheetId="4">#REF!</definedName>
    <definedName name="dates" localSheetId="3">#REF!</definedName>
    <definedName name="dates">#REF!</definedName>
    <definedName name="departments" localSheetId="12">#REF!</definedName>
    <definedName name="departments" localSheetId="2">#REF!</definedName>
    <definedName name="departments" localSheetId="1">#REF!</definedName>
    <definedName name="departments" localSheetId="10">#REF!</definedName>
    <definedName name="departments" localSheetId="7">#REF!</definedName>
    <definedName name="departments" localSheetId="6">#REF!</definedName>
    <definedName name="departments" localSheetId="5">#REF!</definedName>
    <definedName name="departments" localSheetId="4">#REF!</definedName>
    <definedName name="departments" localSheetId="3">#REF!</definedName>
    <definedName name="departments">#REF!</definedName>
    <definedName name="likert" localSheetId="12">#REF!</definedName>
    <definedName name="likert" localSheetId="2">#REF!</definedName>
    <definedName name="likert" localSheetId="1">#REF!</definedName>
    <definedName name="likert" localSheetId="10">#REF!</definedName>
    <definedName name="likert" localSheetId="7">#REF!</definedName>
    <definedName name="likert" localSheetId="6">#REF!</definedName>
    <definedName name="likert" localSheetId="5">#REF!</definedName>
    <definedName name="likert" localSheetId="4">#REF!</definedName>
    <definedName name="likert" localSheetId="3">#REF!</definedName>
    <definedName name="likert">#REF!</definedName>
    <definedName name="numberAmbitPersonnel" localSheetId="12">#REF!</definedName>
    <definedName name="numberAmbitPersonnel" localSheetId="2">#REF!</definedName>
    <definedName name="numberAmbitPersonnel" localSheetId="1">#REF!</definedName>
    <definedName name="numberAmbitPersonnel" localSheetId="10">#REF!</definedName>
    <definedName name="numberAmbitPersonnel" localSheetId="7">#REF!</definedName>
    <definedName name="numberAmbitPersonnel" localSheetId="6">#REF!</definedName>
    <definedName name="numberAmbitPersonnel" localSheetId="5">#REF!</definedName>
    <definedName name="numberAmbitPersonnel" localSheetId="4">#REF!</definedName>
    <definedName name="numberAmbitPersonnel" localSheetId="3">#REF!</definedName>
    <definedName name="numberAmbitPersonnel">#REF!</definedName>
    <definedName name="partnershipRequirements" localSheetId="12">#REF!</definedName>
    <definedName name="partnershipRequirements" localSheetId="2">#REF!</definedName>
    <definedName name="partnershipRequirements" localSheetId="1">#REF!</definedName>
    <definedName name="partnershipRequirements" localSheetId="10">#REF!</definedName>
    <definedName name="partnershipRequirements" localSheetId="7">#REF!</definedName>
    <definedName name="partnershipRequirements" localSheetId="6">#REF!</definedName>
    <definedName name="partnershipRequirements" localSheetId="5">#REF!</definedName>
    <definedName name="partnershipRequirements" localSheetId="4">#REF!</definedName>
    <definedName name="partnershipRequirements" localSheetId="3">#REF!</definedName>
    <definedName name="partnershipRequirements">#REF!</definedName>
    <definedName name="PSWFormInput_0" hidden="1">Dashboard!$V$32</definedName>
    <definedName name="PSWOutput_0" hidden="1">Dashboard!$B$3:$Q$45</definedName>
    <definedName name="ranks" localSheetId="12">#REF!</definedName>
    <definedName name="ranks" localSheetId="2">#REF!</definedName>
    <definedName name="ranks" localSheetId="1">#REF!</definedName>
    <definedName name="ranks" localSheetId="10">#REF!</definedName>
    <definedName name="ranks" localSheetId="7">#REF!</definedName>
    <definedName name="ranks" localSheetId="6">#REF!</definedName>
    <definedName name="ranks" localSheetId="5">#REF!</definedName>
    <definedName name="ranks" localSheetId="4">#REF!</definedName>
    <definedName name="ranks" localSheetId="3">#REF!</definedName>
    <definedName name="ranks">#REF!</definedName>
    <definedName name="requestType" localSheetId="12">#REF!</definedName>
    <definedName name="requestType" localSheetId="2">#REF!</definedName>
    <definedName name="requestType" localSheetId="1">#REF!</definedName>
    <definedName name="requestType" localSheetId="10">#REF!</definedName>
    <definedName name="requestType" localSheetId="7">#REF!</definedName>
    <definedName name="requestType" localSheetId="6">#REF!</definedName>
    <definedName name="requestType" localSheetId="5">#REF!</definedName>
    <definedName name="requestType" localSheetId="4">#REF!</definedName>
    <definedName name="requestType" localSheetId="3">#REF!</definedName>
    <definedName name="requestType">#REF!</definedName>
    <definedName name="SPRange" localSheetId="6">'Supplier&gt; Huawei Inc.'!$C$4,'Supplier&gt; Huawei Inc.'!$C$5,'Supplier&gt; Huawei Inc.'!$C$6,'Supplier&gt; Huawei Inc.'!$C$8,'Supplier&gt; Huawei Inc.'!$C$9,'Supplier&gt; Huawei Inc.'!$C$10,'Supplier&gt; Huawei Inc.'!$C$11</definedName>
    <definedName name="SPRange" localSheetId="5">'Supplier&gt; Intel Inc.'!$C$4,'Supplier&gt; Intel Inc.'!$C$5,'Supplier&gt; Intel Inc.'!$C$6,'Supplier&gt; Intel Inc.'!$C$8,'Supplier&gt; Intel Inc.'!$C$9,'Supplier&gt; Intel Inc.'!$C$10,'Supplier&gt; Intel Inc.'!$C$11</definedName>
    <definedName name="SPRange" localSheetId="4">'Supplier&gt; Qualcomm Inc.'!$C$4,'Supplier&gt; Qualcomm Inc.'!$C$5,'Supplier&gt; Qualcomm Inc.'!$C$6,'Supplier&gt; Qualcomm Inc.'!$C$8,'Supplier&gt; Qualcomm Inc.'!$C$9,'Supplier&gt; Qualcomm Inc.'!$C$10,'Supplier&gt; Qualcomm Inc.'!$C$11</definedName>
    <definedName name="SPRange" localSheetId="3">'Supplier&gt; Samsung Inc.'!$C$4,'Supplier&gt; Samsung Inc.'!$C$5,'Supplier&gt; Samsung Inc.'!$C$6,'Supplier&gt; Samsung Inc.'!$C$8,'Supplier&gt; Samsung Inc.'!$C$9,'Supplier&gt; Samsung Inc.'!$C$10,'Supplier&gt; Samsung Inc.'!$C$11</definedName>
    <definedName name="SPRange">Supplier_Template!$C$4,Supplier_Template!$C$5,Supplier_Template!$C$6,Supplier_Template!$C$8,Supplier_Template!$C$9,Supplier_Template!$C$10,Supplier_Template!$C$11</definedName>
    <definedName name="staffHours" localSheetId="12">#REF!</definedName>
    <definedName name="staffHours" localSheetId="2">#REF!</definedName>
    <definedName name="staffHours" localSheetId="1">#REF!</definedName>
    <definedName name="staffHours" localSheetId="10">#REF!</definedName>
    <definedName name="staffHours" localSheetId="7">#REF!</definedName>
    <definedName name="staffHours" localSheetId="6">#REF!</definedName>
    <definedName name="staffHours" localSheetId="5">#REF!</definedName>
    <definedName name="staffHours" localSheetId="4">#REF!</definedName>
    <definedName name="staffHours" localSheetId="3">#REF!</definedName>
    <definedName name="staffHours">#REF!</definedName>
    <definedName name="weight" localSheetId="12">#REF!</definedName>
    <definedName name="weight" localSheetId="2">#REF!</definedName>
    <definedName name="weight" localSheetId="1">#REF!</definedName>
    <definedName name="weight" localSheetId="10">#REF!</definedName>
    <definedName name="weight" localSheetId="7">#REF!</definedName>
    <definedName name="weight" localSheetId="6">#REF!</definedName>
    <definedName name="weight" localSheetId="5">#REF!</definedName>
    <definedName name="weight" localSheetId="4">#REF!</definedName>
    <definedName name="weight" localSheetId="3">#REF!</definedName>
    <definedName name="weight">#REF!</definedName>
    <definedName name="yes_no" localSheetId="12">#REF!</definedName>
    <definedName name="yes_no" localSheetId="2">#REF!</definedName>
    <definedName name="yes_no" localSheetId="1">#REF!</definedName>
    <definedName name="yes_no" localSheetId="10">#REF!</definedName>
    <definedName name="yes_no" localSheetId="7">#REF!</definedName>
    <definedName name="yes_no" localSheetId="6">#REF!</definedName>
    <definedName name="yes_no" localSheetId="5">#REF!</definedName>
    <definedName name="yes_no" localSheetId="4">#REF!</definedName>
    <definedName name="yes_no" localSheetId="3">#REF!</definedName>
    <definedName name="yes_n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1" i="73" l="1"/>
  <c r="B101" i="73"/>
  <c r="C100" i="73"/>
  <c r="B100" i="73"/>
  <c r="F100" i="73" s="1"/>
  <c r="G100" i="73" s="1"/>
  <c r="C40" i="73"/>
  <c r="C39" i="73"/>
  <c r="C38" i="73"/>
  <c r="C37" i="73"/>
  <c r="C36" i="73"/>
  <c r="C35" i="73"/>
  <c r="C34" i="73"/>
  <c r="C30" i="73"/>
  <c r="C29" i="73"/>
  <c r="C28" i="73"/>
  <c r="C27" i="73"/>
  <c r="C26" i="73"/>
  <c r="C25" i="73"/>
  <c r="C101" i="71"/>
  <c r="B101" i="71"/>
  <c r="C100" i="71"/>
  <c r="B100" i="71"/>
  <c r="F100" i="71" s="1"/>
  <c r="G100" i="71" s="1"/>
  <c r="C40" i="71"/>
  <c r="C39" i="71"/>
  <c r="C38" i="71"/>
  <c r="C37" i="71"/>
  <c r="C36" i="71"/>
  <c r="C35" i="71"/>
  <c r="C34" i="71"/>
  <c r="C30" i="71"/>
  <c r="C29" i="71"/>
  <c r="C28" i="71"/>
  <c r="C27" i="71"/>
  <c r="C26" i="71"/>
  <c r="C25" i="71"/>
  <c r="C101" i="70"/>
  <c r="B101" i="70"/>
  <c r="C100" i="70"/>
  <c r="B100" i="70"/>
  <c r="F100" i="70" s="1"/>
  <c r="G100" i="70" s="1"/>
  <c r="C40" i="70"/>
  <c r="C39" i="70"/>
  <c r="C38" i="70"/>
  <c r="C37" i="70"/>
  <c r="C36" i="70"/>
  <c r="C35" i="70"/>
  <c r="C34" i="70"/>
  <c r="C30" i="70"/>
  <c r="C29" i="70"/>
  <c r="C28" i="70"/>
  <c r="C27" i="70"/>
  <c r="C26" i="70"/>
  <c r="C25" i="70"/>
  <c r="C101" i="69"/>
  <c r="B101" i="69"/>
  <c r="C100" i="69"/>
  <c r="B100" i="69"/>
  <c r="C40" i="69"/>
  <c r="C39" i="69"/>
  <c r="C38" i="69"/>
  <c r="C37" i="69"/>
  <c r="C36" i="69"/>
  <c r="C35" i="69"/>
  <c r="C34" i="69"/>
  <c r="C30" i="69"/>
  <c r="C29" i="69"/>
  <c r="C28" i="69"/>
  <c r="C27" i="69"/>
  <c r="C26" i="69"/>
  <c r="C25" i="69"/>
  <c r="C100" i="68"/>
  <c r="B100" i="68"/>
  <c r="C30" i="31"/>
  <c r="C29" i="31"/>
  <c r="C28" i="31"/>
  <c r="C27" i="31"/>
  <c r="C26" i="31"/>
  <c r="C25" i="31"/>
  <c r="C101" i="31"/>
  <c r="C37" i="31"/>
  <c r="B101" i="31"/>
  <c r="C100" i="29"/>
  <c r="D100" i="29" s="1"/>
  <c r="C100" i="31"/>
  <c r="B100" i="31"/>
  <c r="F100" i="31" s="1"/>
  <c r="G100" i="31" s="1"/>
  <c r="J10" i="27"/>
  <c r="B100" i="29"/>
  <c r="C40" i="31"/>
  <c r="C39" i="31"/>
  <c r="C38" i="31"/>
  <c r="C36" i="31"/>
  <c r="C35" i="31"/>
  <c r="C34" i="31"/>
  <c r="F100" i="69" l="1"/>
  <c r="G100" i="69" s="1"/>
  <c r="D100" i="68"/>
</calcChain>
</file>

<file path=xl/sharedStrings.xml><?xml version="1.0" encoding="utf-8"?>
<sst xmlns="http://schemas.openxmlformats.org/spreadsheetml/2006/main" count="550" uniqueCount="162">
  <si>
    <t>Insignificant</t>
  </si>
  <si>
    <t>Moderate</t>
  </si>
  <si>
    <t>Disastrous</t>
  </si>
  <si>
    <t>New Questions/Category Segmentation(x-axis)</t>
  </si>
  <si>
    <t>None</t>
  </si>
  <si>
    <t>Little</t>
  </si>
  <si>
    <t>Significant</t>
  </si>
  <si>
    <t xml:space="preserve">Does this category provide product differentiation that leads to real or perceived value for the internal or external customer? </t>
  </si>
  <si>
    <t>Rank the cost and time of switching suppliers</t>
  </si>
  <si>
    <t>** Could just be a range cost and range time selection, look at the "green" lifecycle questions below.  May better get to the answer.</t>
  </si>
  <si>
    <t>Minimal Risk</t>
  </si>
  <si>
    <t>Some Risk</t>
  </si>
  <si>
    <t>High Risk</t>
  </si>
  <si>
    <t>Can catergory managers answer this objectively?  Do we need/is there easily accessable quanitative information.</t>
  </si>
  <si>
    <t>No Complexity</t>
  </si>
  <si>
    <t>Extremely Complex</t>
  </si>
  <si>
    <t>Not at All</t>
  </si>
  <si>
    <t>Supplier Preferences Questions Recommended</t>
  </si>
  <si>
    <t>Comments</t>
  </si>
  <si>
    <t>&lt;10%</t>
  </si>
  <si>
    <t>&gt;30% and &lt;50%</t>
  </si>
  <si>
    <t>Category Segmentation</t>
  </si>
  <si>
    <t>Acquisition</t>
  </si>
  <si>
    <t>Exposed</t>
  </si>
  <si>
    <t>Strategic</t>
  </si>
  <si>
    <t>Supplier Preferencing</t>
  </si>
  <si>
    <t>Nuisance</t>
  </si>
  <si>
    <r>
      <t>Transactional</t>
    </r>
    <r>
      <rPr>
        <sz val="10"/>
        <rFont val="Arial"/>
        <family val="2"/>
      </rPr>
      <t xml:space="preserve">
or </t>
    </r>
    <r>
      <rPr>
        <b/>
        <sz val="10"/>
        <rFont val="Arial"/>
        <family val="2"/>
      </rPr>
      <t>Critical</t>
    </r>
    <r>
      <rPr>
        <sz val="10"/>
        <rFont val="Arial"/>
        <family val="2"/>
      </rPr>
      <t xml:space="preserve"> -if immediate risk is posed on the enterprise </t>
    </r>
  </si>
  <si>
    <t>Critical</t>
  </si>
  <si>
    <t>Exploit</t>
  </si>
  <si>
    <t>Develop</t>
  </si>
  <si>
    <r>
      <t>Transactional</t>
    </r>
    <r>
      <rPr>
        <sz val="10"/>
        <rFont val="Arial"/>
        <family val="2"/>
      </rPr>
      <t xml:space="preserve">
or </t>
    </r>
    <r>
      <rPr>
        <b/>
        <sz val="10"/>
        <rFont val="Arial"/>
        <family val="2"/>
      </rPr>
      <t>Preferred</t>
    </r>
    <r>
      <rPr>
        <sz val="10"/>
        <rFont val="Arial"/>
        <family val="2"/>
      </rPr>
      <t xml:space="preserve"> if we want to consolidate our business into them to leverage scale and reduce supply base</t>
    </r>
  </si>
  <si>
    <t>Preferred</t>
  </si>
  <si>
    <t>Core</t>
  </si>
  <si>
    <r>
      <t>Transactional</t>
    </r>
    <r>
      <rPr>
        <sz val="10"/>
        <rFont val="Arial"/>
        <family val="2"/>
      </rPr>
      <t xml:space="preserve">
or</t>
    </r>
    <r>
      <rPr>
        <b/>
        <sz val="10"/>
        <rFont val="Arial"/>
        <family val="2"/>
      </rPr>
      <t xml:space="preserve"> Preferred</t>
    </r>
    <r>
      <rPr>
        <sz val="10"/>
        <rFont val="Arial"/>
        <family val="2"/>
      </rPr>
      <t xml:space="preserve"> if we want to consolidate our business into them to leverage scale and reduce supply base</t>
    </r>
  </si>
  <si>
    <t xml:space="preserve">Supplier Preferences </t>
  </si>
  <si>
    <t>Risk Assessment</t>
  </si>
  <si>
    <t>How technology and skill dependent is this category?</t>
  </si>
  <si>
    <t xml:space="preserve">What % of supplier’s business comes from the category under review? </t>
  </si>
  <si>
    <t>Risk Matrix Questions</t>
  </si>
  <si>
    <t xml:space="preserve">** Choose Value ** </t>
  </si>
  <si>
    <t>No Risk</t>
  </si>
  <si>
    <t>Unwilling</t>
  </si>
  <si>
    <t>What is the range of spend for this category?</t>
  </si>
  <si>
    <t>What % of supplier’s future business comes from the category under review?</t>
  </si>
  <si>
    <t>Transactional</t>
  </si>
  <si>
    <t>Incomplete</t>
  </si>
  <si>
    <t>Spend &amp; Product Differentiation (x-axis)</t>
  </si>
  <si>
    <t>Market Difficulty (y-axis)</t>
  </si>
  <si>
    <t>Low Cost and Short Time (&lt;6 months)</t>
  </si>
  <si>
    <t>High Cost and Short Time (&lt;6 months)</t>
  </si>
  <si>
    <t>Low Cost and Long Time (6+ months)</t>
  </si>
  <si>
    <t>High Cost and Long Time (6+ months)</t>
  </si>
  <si>
    <r>
      <t>What is the availability of competitive solutions?</t>
    </r>
    <r>
      <rPr>
        <b/>
        <i/>
        <sz val="11"/>
        <rFont val="Calibri"/>
        <family val="2"/>
      </rPr>
      <t xml:space="preserve"> </t>
    </r>
    <r>
      <rPr>
        <i/>
        <sz val="11"/>
        <rFont val="Calibri"/>
        <family val="2"/>
      </rPr>
      <t>Market capacity influences the risk of being unable to obtain the product or service when needed.</t>
    </r>
  </si>
  <si>
    <t>This is the only viable solution</t>
  </si>
  <si>
    <t>Numerous (10+) viable alternatives are available</t>
  </si>
  <si>
    <t>A handful (5-10) of viable alternative solutions are available</t>
  </si>
  <si>
    <t>Few viable (2-5) solutions are available</t>
  </si>
  <si>
    <t>How complex is the category as it relates to training, service, and support?</t>
  </si>
  <si>
    <t>Considerable</t>
  </si>
  <si>
    <t>&lt;$25M</t>
  </si>
  <si>
    <t>&gt;$25M to &lt;$100M</t>
  </si>
  <si>
    <t xml:space="preserve">&gt;$100M to &lt;$250M </t>
  </si>
  <si>
    <t>&gt;$250M</t>
  </si>
  <si>
    <t>% of Supplier Business (x-axis)</t>
  </si>
  <si>
    <t>Fit To Supplier Business (y-axis)</t>
  </si>
  <si>
    <t>Risk Probability (x-axis)</t>
  </si>
  <si>
    <t xml:space="preserve">Supplier Impact (y-axis) </t>
  </si>
  <si>
    <t>What % of supplier business comes from other AT&amp;T categories?</t>
  </si>
  <si>
    <t>&gt;10 and &lt;30%</t>
  </si>
  <si>
    <t>&gt;50%</t>
  </si>
  <si>
    <t>To what extent is the supplier dependent on AT&amp;T's brand on their strategy?</t>
  </si>
  <si>
    <t>Supplier:</t>
  </si>
  <si>
    <t>Minimal to No Communication</t>
  </si>
  <si>
    <r>
      <t xml:space="preserve">How severe are the consequences of non-availability of this product or service? </t>
    </r>
    <r>
      <rPr>
        <sz val="11"/>
        <rFont val="Calibri"/>
        <family val="2"/>
      </rPr>
      <t xml:space="preserve">Non-availability includes service disruption, products/services not meeting standards, etc. </t>
    </r>
  </si>
  <si>
    <t>Category:</t>
  </si>
  <si>
    <t>How susceptible is this supplier from effects of regulatory change and/or geo-political instability?</t>
  </si>
  <si>
    <t>What is the likelihood AT&amp;T will be exposed to disruptions in service/support/new features?</t>
  </si>
  <si>
    <t>How much information is the supplier willing to share with AT&amp;T about company financial data?</t>
  </si>
  <si>
    <t>How much information is the supplier willing to share about internal processes &amp; supplier costs?</t>
  </si>
  <si>
    <t>How established is the supplier's customer base? In other words, do they have a strong track record with previous deployments?</t>
  </si>
  <si>
    <t>How stable are the supplier's financials (e.g., revenue, cash flow, margins, etc.)?</t>
  </si>
  <si>
    <t>Is AT&amp;T dependent on the supplier to meet business goals?</t>
  </si>
  <si>
    <t>How impactful would the failure of this supplier be to our customers?</t>
  </si>
  <si>
    <r>
      <rPr>
        <b/>
        <sz val="11"/>
        <color theme="1"/>
        <rFont val="Calibri"/>
        <family val="2"/>
        <scheme val="minor"/>
      </rPr>
      <t>Does AT&amp;T's business in this category align with the supplier's long-term business growth plan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(is AT&amp;T's business essential to the supplier's growth)</t>
    </r>
    <r>
      <rPr>
        <b/>
        <sz val="11"/>
        <color theme="1"/>
        <rFont val="Calibri"/>
        <family val="2"/>
        <scheme val="minor"/>
      </rPr>
      <t>?</t>
    </r>
  </si>
  <si>
    <r>
      <rPr>
        <b/>
        <sz val="11"/>
        <color indexed="8"/>
        <rFont val="Calibri"/>
        <family val="2"/>
      </rPr>
      <t>To what extent are the two companies intertwined from an IP/technology perspective?</t>
    </r>
    <r>
      <rPr>
        <sz val="11"/>
        <color indexed="8"/>
        <rFont val="Calibri"/>
        <family val="2"/>
      </rPr>
      <t xml:space="preserve"> </t>
    </r>
    <r>
      <rPr>
        <i/>
        <sz val="11"/>
        <color indexed="8"/>
        <rFont val="Calibri"/>
        <family val="2"/>
      </rPr>
      <t>In other words, how important is AT&amp;T's IP/technology to the supplier and vice versa?</t>
    </r>
  </si>
  <si>
    <r>
      <t xml:space="preserve">To what extent are the two companies intertwined from an IP/technology perspective? </t>
    </r>
    <r>
      <rPr>
        <i/>
        <sz val="11"/>
        <color indexed="8"/>
        <rFont val="Calibri"/>
        <family val="2"/>
      </rPr>
      <t>In other words, how important is AT&amp;T's IP/technology to the supplier and vice versa?</t>
    </r>
  </si>
  <si>
    <t xml:space="preserve">Does this category provide product differentiation that leads to real or perceived value for AT&amp;T's internal and/or external customers? </t>
  </si>
  <si>
    <r>
      <t xml:space="preserve">How severe are the consequences of non-availability of this product or service? </t>
    </r>
    <r>
      <rPr>
        <i/>
        <sz val="11"/>
        <rFont val="Calibri"/>
        <family val="2"/>
      </rPr>
      <t xml:space="preserve">Non-availability includes service disruption, products/services not meeting standards, etc. </t>
    </r>
  </si>
  <si>
    <t>Little Complexity</t>
  </si>
  <si>
    <t>Moderate Complexity</t>
  </si>
  <si>
    <r>
      <rPr>
        <b/>
        <sz val="11"/>
        <color theme="1"/>
        <rFont val="Calibri"/>
        <family val="2"/>
        <scheme val="minor"/>
      </rPr>
      <t>How much does AT&amp;T's business in this category align with the supplier's long-term business growth plan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(is AT&amp;T's business essential to the supplier's growth)</t>
    </r>
    <r>
      <rPr>
        <b/>
        <sz val="11"/>
        <color theme="1"/>
        <rFont val="Calibri"/>
        <family val="2"/>
        <scheme val="minor"/>
      </rPr>
      <t>?</t>
    </r>
  </si>
  <si>
    <t>Very Willing (Timely and Detailed)</t>
  </si>
  <si>
    <t>Willing (Timely &amp; Somewhat Detailed)</t>
  </si>
  <si>
    <t>Somewhat Willing (Untimely and/or Marginal Detail)</t>
  </si>
  <si>
    <t>Frequent Open and Detailed Communications</t>
  </si>
  <si>
    <t>Periodic Communications with Varying Levels of Detail</t>
  </si>
  <si>
    <t>Limited Communications</t>
  </si>
  <si>
    <t>Very Stable</t>
  </si>
  <si>
    <t>Acceptable</t>
  </si>
  <si>
    <t>Somewhat Concerning</t>
  </si>
  <si>
    <t>Very Concerning</t>
  </si>
  <si>
    <t>No likelihood of a shut-down (proven track-record)</t>
  </si>
  <si>
    <t>Limited possiblity of shut-down (intermittent compliance/regulatory issues)</t>
  </si>
  <si>
    <t>Above average likelihood of shut-down based on historical regulatory and compliance faults</t>
  </si>
  <si>
    <t>High likelihood of a shut-down, causing supply interruption (history of regulatory and compliance faults)</t>
  </si>
  <si>
    <t>Several large customers</t>
  </si>
  <si>
    <t>Some large customers, several smaller customers</t>
  </si>
  <si>
    <t>No large customers, some small customers</t>
  </si>
  <si>
    <t>Startup</t>
  </si>
  <si>
    <t>Highly unlikely</t>
  </si>
  <si>
    <t>Very likely</t>
  </si>
  <si>
    <t>Somewhat likely</t>
  </si>
  <si>
    <t>Absolutely no concerns</t>
  </si>
  <si>
    <t>Overly dependent</t>
  </si>
  <si>
    <t>Highly dependent</t>
  </si>
  <si>
    <t>Somewhat dependent</t>
  </si>
  <si>
    <t>No dependence</t>
  </si>
  <si>
    <t>Extremely impactful - large revenue loss at stake</t>
  </si>
  <si>
    <t>No impact</t>
  </si>
  <si>
    <t>Somewhat impactful</t>
  </si>
  <si>
    <t>Highly impactful</t>
  </si>
  <si>
    <t>Leverage</t>
  </si>
  <si>
    <t>How critical is the IP of a potential solution to AT&amp;T?</t>
  </si>
  <si>
    <t>What is the cost and time associated with switching suppliers?</t>
  </si>
  <si>
    <t xml:space="preserve">What % of supplier’s business comes from AT&amp;T for the category under review? </t>
  </si>
  <si>
    <t>What % of supplier’s future business comes from AT&amp;T for the category under review?</t>
  </si>
  <si>
    <t>What is the perceived likelihood of AT&amp;T's IP being mishandled and/or abused?</t>
  </si>
  <si>
    <t>Semiconductors</t>
  </si>
  <si>
    <t>How critical is the IP of a potential solution to RollaMobile?</t>
  </si>
  <si>
    <t xml:space="preserve">Does this category provide product differentiation that leads to real or perceived value for RollaMobile's internal and/or external customers? </t>
  </si>
  <si>
    <t>Complete</t>
  </si>
  <si>
    <t>Category:Semiconductors (Strategic)</t>
  </si>
  <si>
    <t>Semiconductors (Strategic)</t>
  </si>
  <si>
    <t>Samsung Inc.</t>
  </si>
  <si>
    <t xml:space="preserve">Category&gt;Semiconductors &gt;&gt; </t>
  </si>
  <si>
    <t xml:space="preserve">What % of supplier’s business comes from RollaMobile for the category under review? </t>
  </si>
  <si>
    <t>What % of supplier’s future business comes from RollaMobile for the category under review?</t>
  </si>
  <si>
    <t>What % of supplier business comes from other RollaMobile categories?</t>
  </si>
  <si>
    <t>To what extent is the supplier dependent on RollaMobile's brand on their strategy?</t>
  </si>
  <si>
    <t>What is the likelihood RollaMobile will be exposed to disruptions in service/support/new features?</t>
  </si>
  <si>
    <t>How much information is the supplier willing to share with RollaMobile about company financial data?</t>
  </si>
  <si>
    <t>What is the perceived likelihood of RollaMobile's IP being mishandled and/or abused?</t>
  </si>
  <si>
    <t>How much does RollaMobile's business in this category align with the supplier's long-term business growth plan (is RollaMobile's business essential to the supplier's growth)?</t>
  </si>
  <si>
    <t>To what extent are the two companies intertwined from an IP/technology perspective? In other words, how important is RollaMobile's IP/technology to the supplier and vice versa?</t>
  </si>
  <si>
    <t>Is RollaMobile dependent on the supplier to meet business goals?</t>
  </si>
  <si>
    <t>Qualcomm Inc.</t>
  </si>
  <si>
    <t>Intel Inc.</t>
  </si>
  <si>
    <r>
      <t xml:space="preserve">How severe are the consequences of non-availability of this product or service? </t>
    </r>
    <r>
      <rPr>
        <sz val="10"/>
        <rFont val="Arial"/>
        <family val="2"/>
      </rPr>
      <t xml:space="preserve">Non-availability includes service disruption, products/services not meeting standards, etc. </t>
    </r>
  </si>
  <si>
    <r>
      <t>What is the availability of competitive solutions?</t>
    </r>
    <r>
      <rPr>
        <b/>
        <i/>
        <sz val="10"/>
        <rFont val="Arial"/>
        <family val="2"/>
      </rPr>
      <t xml:space="preserve"> </t>
    </r>
    <r>
      <rPr>
        <i/>
        <sz val="10"/>
        <rFont val="Arial"/>
        <family val="2"/>
      </rPr>
      <t>Market capacity influences the risk of being unable to obtain the product or service when needed.</t>
    </r>
  </si>
  <si>
    <r>
      <rPr>
        <b/>
        <sz val="10"/>
        <color theme="1"/>
        <rFont val="Arial"/>
        <family val="2"/>
      </rPr>
      <t>How much does RollaMobile's business in this category align with the supplier's long-term business growth plan</t>
    </r>
    <r>
      <rPr>
        <sz val="10"/>
        <color theme="1"/>
        <rFont val="Arial"/>
        <family val="2"/>
      </rPr>
      <t xml:space="preserve"> </t>
    </r>
    <r>
      <rPr>
        <i/>
        <sz val="10"/>
        <color theme="1"/>
        <rFont val="Arial"/>
        <family val="2"/>
      </rPr>
      <t>(is RollaMobile's business essential to the supplier's growth)</t>
    </r>
    <r>
      <rPr>
        <b/>
        <sz val="10"/>
        <color theme="1"/>
        <rFont val="Arial"/>
        <family val="2"/>
      </rPr>
      <t>?</t>
    </r>
  </si>
  <si>
    <r>
      <rPr>
        <b/>
        <sz val="10"/>
        <color indexed="8"/>
        <rFont val="Arial"/>
        <family val="2"/>
      </rPr>
      <t>To what extent are the two companies intertwined from an IP/technology perspective?</t>
    </r>
    <r>
      <rPr>
        <sz val="10"/>
        <color indexed="8"/>
        <rFont val="Arial"/>
        <family val="2"/>
      </rPr>
      <t xml:space="preserve"> </t>
    </r>
    <r>
      <rPr>
        <i/>
        <sz val="10"/>
        <color indexed="8"/>
        <rFont val="Arial"/>
        <family val="2"/>
      </rPr>
      <t>In other words, how important is RollaMobile's IP/technology to the supplier and vice versa?</t>
    </r>
  </si>
  <si>
    <r>
      <t xml:space="preserve">How severe are the consequences of non-availability of this product or service? </t>
    </r>
    <r>
      <rPr>
        <i/>
        <sz val="10"/>
        <rFont val="Arial"/>
        <family val="2"/>
      </rPr>
      <t xml:space="preserve">Non-availability includes service disruption, products/services not meeting standards, etc. </t>
    </r>
  </si>
  <si>
    <t>Huawei Inc.</t>
  </si>
  <si>
    <t>Supplier:Samsung Inc. (Preference:Develop,Segmentation:Preferred)</t>
  </si>
  <si>
    <t>Samsung Inc. (Develop)</t>
  </si>
  <si>
    <t>Supplier:Qualcomm Inc. (Preference:Develop,Segmentation:Preferred)</t>
  </si>
  <si>
    <t>Qualcomm Inc. (Develop)</t>
  </si>
  <si>
    <t>Supplier:Intel Inc. (Preference:Develop,Segmentation:Preferred)</t>
  </si>
  <si>
    <t>Intel Inc. (Develop)</t>
  </si>
  <si>
    <t>Supplier:Huawei Inc. (Preference:Develop,Segmentation:Preferred)</t>
  </si>
  <si>
    <t>Huawei Inc. (Develop)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</si>
</sst>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b/>
      <sz val="16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2"/>
      <color theme="0"/>
      <name val="Calibri"/>
      <family val="2"/>
      <scheme val="minor"/>
    </font>
    <font>
      <sz val="24"/>
      <color rgb="FF00B050"/>
      <name val="Calibri"/>
      <family val="2"/>
      <scheme val="minor"/>
    </font>
    <font>
      <sz val="12"/>
      <color rgb="FF80808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i/>
      <sz val="11"/>
      <color indexed="8"/>
      <name val="Calibri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00B050"/>
      <name val="Arial"/>
      <family val="2"/>
    </font>
    <font>
      <b/>
      <sz val="10"/>
      <color indexed="8"/>
      <name val="Arial"/>
      <family val="2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sz val="10"/>
      <color theme="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i/>
      <sz val="10"/>
      <color indexed="8"/>
      <name val="Arial"/>
      <family val="2"/>
    </font>
    <font>
      <b/>
      <sz val="14"/>
      <color theme="4" tint="-0.249977111117893"/>
      <name val="Arial"/>
      <family val="2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</fills>
  <borders count="2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42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/>
    <xf numFmtId="0" fontId="5" fillId="0" borderId="0"/>
    <xf numFmtId="0" fontId="11" fillId="0" borderId="0" applyNumberFormat="0" applyFill="0" applyBorder="0" applyAlignment="0" applyProtection="0"/>
    <xf numFmtId="0" fontId="4" fillId="0" borderId="0"/>
    <xf numFmtId="0" fontId="7" fillId="0" borderId="0"/>
  </cellStyleXfs>
  <cellXfs count="107">
    <xf numFmtId="0" fontId="0" fillId="0" borderId="0" xfId="0"/>
    <xf numFmtId="0" fontId="7" fillId="0" borderId="0" xfId="40" applyFont="1"/>
    <xf numFmtId="0" fontId="0" fillId="4" borderId="3" xfId="0" applyFill="1" applyBorder="1"/>
    <xf numFmtId="0" fontId="0" fillId="0" borderId="3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15" fillId="0" borderId="1" xfId="0" applyFont="1" applyBorder="1" applyAlignment="1">
      <alignment wrapText="1" shrinkToFit="1"/>
    </xf>
    <xf numFmtId="0" fontId="18" fillId="0" borderId="1" xfId="0" applyFont="1" applyBorder="1" applyAlignment="1">
      <alignment horizontal="center" wrapText="1"/>
    </xf>
    <xf numFmtId="0" fontId="18" fillId="0" borderId="3" xfId="0" applyFont="1" applyBorder="1" applyAlignment="1">
      <alignment horizontal="center" wrapText="1"/>
    </xf>
    <xf numFmtId="0" fontId="18" fillId="0" borderId="11" xfId="0" applyFont="1" applyBorder="1" applyAlignment="1">
      <alignment horizontal="center" wrapText="1"/>
    </xf>
    <xf numFmtId="0" fontId="18" fillId="0" borderId="3" xfId="0" applyFont="1" applyBorder="1" applyAlignment="1">
      <alignment horizontal="center"/>
    </xf>
    <xf numFmtId="0" fontId="0" fillId="4" borderId="0" xfId="0" applyFill="1"/>
    <xf numFmtId="0" fontId="0" fillId="0" borderId="3" xfId="0" applyBorder="1" applyAlignment="1">
      <alignment wrapText="1"/>
    </xf>
    <xf numFmtId="0" fontId="19" fillId="0" borderId="3" xfId="0" applyFont="1" applyBorder="1" applyAlignment="1">
      <alignment wrapText="1"/>
    </xf>
    <xf numFmtId="0" fontId="0" fillId="0" borderId="1" xfId="0" applyBorder="1" applyAlignment="1">
      <alignment horizontal="center" vertical="center" wrapText="1"/>
    </xf>
    <xf numFmtId="0" fontId="7" fillId="0" borderId="0" xfId="41"/>
    <xf numFmtId="0" fontId="6" fillId="0" borderId="13" xfId="41" applyFont="1" applyBorder="1" applyAlignment="1">
      <alignment horizontal="center"/>
    </xf>
    <xf numFmtId="0" fontId="6" fillId="0" borderId="14" xfId="41" applyFont="1" applyBorder="1" applyAlignment="1">
      <alignment horizontal="center"/>
    </xf>
    <xf numFmtId="0" fontId="6" fillId="0" borderId="15" xfId="41" applyFont="1" applyBorder="1" applyAlignment="1">
      <alignment horizontal="center"/>
    </xf>
    <xf numFmtId="0" fontId="6" fillId="0" borderId="17" xfId="41" applyFont="1" applyBorder="1" applyAlignment="1">
      <alignment horizontal="center"/>
    </xf>
    <xf numFmtId="0" fontId="6" fillId="5" borderId="18" xfId="41" applyFont="1" applyFill="1" applyBorder="1" applyAlignment="1">
      <alignment horizontal="left" vertical="center" wrapText="1"/>
    </xf>
    <xf numFmtId="0" fontId="6" fillId="6" borderId="18" xfId="41" applyFont="1" applyFill="1" applyBorder="1" applyAlignment="1">
      <alignment horizontal="center"/>
    </xf>
    <xf numFmtId="0" fontId="6" fillId="6" borderId="19" xfId="41" applyFont="1" applyFill="1" applyBorder="1" applyAlignment="1">
      <alignment horizontal="center"/>
    </xf>
    <xf numFmtId="0" fontId="6" fillId="0" borderId="2" xfId="41" applyFont="1" applyBorder="1" applyAlignment="1">
      <alignment horizontal="center"/>
    </xf>
    <xf numFmtId="0" fontId="6" fillId="5" borderId="3" xfId="41" applyFont="1" applyFill="1" applyBorder="1" applyAlignment="1">
      <alignment horizontal="left" vertical="center" wrapText="1"/>
    </xf>
    <xf numFmtId="0" fontId="6" fillId="6" borderId="3" xfId="41" applyFont="1" applyFill="1" applyBorder="1" applyAlignment="1">
      <alignment horizontal="center"/>
    </xf>
    <xf numFmtId="0" fontId="6" fillId="6" borderId="4" xfId="41" applyFont="1" applyFill="1" applyBorder="1" applyAlignment="1">
      <alignment horizontal="center"/>
    </xf>
    <xf numFmtId="0" fontId="6" fillId="7" borderId="3" xfId="41" applyFont="1" applyFill="1" applyBorder="1" applyAlignment="1">
      <alignment horizontal="center"/>
    </xf>
    <xf numFmtId="0" fontId="6" fillId="7" borderId="4" xfId="41" applyFont="1" applyFill="1" applyBorder="1" applyAlignment="1">
      <alignment horizontal="center"/>
    </xf>
    <xf numFmtId="0" fontId="6" fillId="0" borderId="20" xfId="41" applyFont="1" applyBorder="1" applyAlignment="1">
      <alignment horizontal="center"/>
    </xf>
    <xf numFmtId="0" fontId="6" fillId="5" borderId="9" xfId="41" applyFont="1" applyFill="1" applyBorder="1" applyAlignment="1">
      <alignment horizontal="left" vertical="center" wrapText="1"/>
    </xf>
    <xf numFmtId="0" fontId="6" fillId="7" borderId="9" xfId="41" applyFont="1" applyFill="1" applyBorder="1" applyAlignment="1">
      <alignment horizontal="center"/>
    </xf>
    <xf numFmtId="0" fontId="6" fillId="2" borderId="9" xfId="41" applyFont="1" applyFill="1" applyBorder="1" applyAlignment="1">
      <alignment horizontal="center"/>
    </xf>
    <xf numFmtId="0" fontId="6" fillId="2" borderId="21" xfId="41" applyFont="1" applyFill="1" applyBorder="1" applyAlignment="1">
      <alignment horizontal="center"/>
    </xf>
    <xf numFmtId="0" fontId="0" fillId="0" borderId="10" xfId="0" applyBorder="1" applyAlignment="1">
      <alignment wrapText="1"/>
    </xf>
    <xf numFmtId="0" fontId="0" fillId="0" borderId="0" xfId="0" applyAlignment="1">
      <alignment wrapText="1"/>
    </xf>
    <xf numFmtId="0" fontId="15" fillId="0" borderId="10" xfId="0" applyFont="1" applyBorder="1" applyAlignment="1">
      <alignment wrapText="1" shrinkToFit="1"/>
    </xf>
    <xf numFmtId="0" fontId="12" fillId="8" borderId="3" xfId="0" applyFont="1" applyFill="1" applyBorder="1" applyAlignment="1">
      <alignment wrapText="1"/>
    </xf>
    <xf numFmtId="0" fontId="20" fillId="0" borderId="0" xfId="0" applyFont="1"/>
    <xf numFmtId="0" fontId="0" fillId="9" borderId="0" xfId="0" applyFill="1"/>
    <xf numFmtId="0" fontId="21" fillId="9" borderId="0" xfId="0" applyFont="1" applyFill="1"/>
    <xf numFmtId="0" fontId="0" fillId="10" borderId="3" xfId="0" applyFill="1" applyBorder="1"/>
    <xf numFmtId="0" fontId="12" fillId="10" borderId="1" xfId="0" applyFont="1" applyFill="1" applyBorder="1" applyAlignment="1">
      <alignment wrapText="1"/>
    </xf>
    <xf numFmtId="0" fontId="13" fillId="10" borderId="3" xfId="0" applyFont="1" applyFill="1" applyBorder="1" applyAlignment="1">
      <alignment horizontal="center"/>
    </xf>
    <xf numFmtId="0" fontId="14" fillId="10" borderId="1" xfId="0" applyFont="1" applyFill="1" applyBorder="1" applyAlignment="1">
      <alignment wrapText="1" shrinkToFit="1"/>
    </xf>
    <xf numFmtId="0" fontId="14" fillId="10" borderId="10" xfId="0" applyFont="1" applyFill="1" applyBorder="1" applyAlignment="1">
      <alignment wrapText="1" shrinkToFit="1"/>
    </xf>
    <xf numFmtId="0" fontId="3" fillId="0" borderId="1" xfId="0" applyFont="1" applyBorder="1" applyAlignment="1">
      <alignment wrapText="1"/>
    </xf>
    <xf numFmtId="0" fontId="3" fillId="0" borderId="3" xfId="0" applyFont="1" applyBorder="1" applyAlignment="1">
      <alignment horizontal="center"/>
    </xf>
    <xf numFmtId="0" fontId="19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12" fillId="10" borderId="3" xfId="0" applyFont="1" applyFill="1" applyBorder="1" applyAlignment="1">
      <alignment wrapText="1"/>
    </xf>
    <xf numFmtId="0" fontId="0" fillId="10" borderId="10" xfId="0" applyFill="1" applyBorder="1" applyAlignment="1">
      <alignment horizontal="center"/>
    </xf>
    <xf numFmtId="0" fontId="21" fillId="9" borderId="0" xfId="0" applyFont="1" applyFill="1" applyAlignment="1">
      <alignment horizontal="right"/>
    </xf>
    <xf numFmtId="0" fontId="0" fillId="10" borderId="0" xfId="0" applyFill="1"/>
    <xf numFmtId="0" fontId="3" fillId="0" borderId="3" xfId="0" applyFont="1" applyBorder="1" applyAlignment="1">
      <alignment wrapText="1"/>
    </xf>
    <xf numFmtId="0" fontId="3" fillId="0" borderId="3" xfId="0" applyFont="1" applyBorder="1"/>
    <xf numFmtId="0" fontId="0" fillId="10" borderId="1" xfId="0" applyFill="1" applyBorder="1" applyAlignment="1">
      <alignment horizontal="center"/>
    </xf>
    <xf numFmtId="0" fontId="0" fillId="0" borderId="0" xfId="0" quotePrefix="1"/>
    <xf numFmtId="0" fontId="2" fillId="0" borderId="3" xfId="0" applyFont="1" applyBorder="1" applyAlignment="1">
      <alignment wrapText="1"/>
    </xf>
    <xf numFmtId="0" fontId="23" fillId="0" borderId="1" xfId="0" applyFont="1" applyBorder="1" applyAlignment="1">
      <alignment wrapText="1"/>
    </xf>
    <xf numFmtId="0" fontId="23" fillId="0" borderId="3" xfId="0" applyFont="1" applyBorder="1" applyAlignment="1">
      <alignment wrapText="1"/>
    </xf>
    <xf numFmtId="0" fontId="25" fillId="0" borderId="3" xfId="0" applyFont="1" applyBorder="1" applyAlignment="1">
      <alignment wrapText="1"/>
    </xf>
    <xf numFmtId="0" fontId="27" fillId="0" borderId="0" xfId="0" applyFont="1"/>
    <xf numFmtId="0" fontId="29" fillId="0" borderId="3" xfId="0" applyFont="1" applyBorder="1" applyAlignment="1">
      <alignment horizontal="center" vertical="center"/>
    </xf>
    <xf numFmtId="0" fontId="29" fillId="9" borderId="0" xfId="0" applyFont="1" applyFill="1" applyAlignment="1">
      <alignment horizontal="center" vertical="center"/>
    </xf>
    <xf numFmtId="0" fontId="30" fillId="9" borderId="0" xfId="0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0" fontId="31" fillId="10" borderId="3" xfId="0" applyFont="1" applyFill="1" applyBorder="1" applyAlignment="1">
      <alignment horizontal="center" vertical="center" wrapText="1"/>
    </xf>
    <xf numFmtId="0" fontId="31" fillId="11" borderId="3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32" fillId="0" borderId="3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 shrinkToFit="1"/>
    </xf>
    <xf numFmtId="0" fontId="29" fillId="0" borderId="0" xfId="0" quotePrefix="1" applyFont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29" fillId="10" borderId="3" xfId="0" applyFont="1" applyFill="1" applyBorder="1" applyAlignment="1">
      <alignment horizontal="center" vertical="center"/>
    </xf>
    <xf numFmtId="0" fontId="31" fillId="10" borderId="1" xfId="0" applyFont="1" applyFill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 wrapText="1" shrinkToFit="1"/>
    </xf>
    <xf numFmtId="0" fontId="6" fillId="10" borderId="10" xfId="0" applyFont="1" applyFill="1" applyBorder="1" applyAlignment="1">
      <alignment horizontal="center" vertical="center" wrapText="1" shrinkToFit="1"/>
    </xf>
    <xf numFmtId="0" fontId="29" fillId="0" borderId="10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 shrinkToFit="1"/>
    </xf>
    <xf numFmtId="0" fontId="28" fillId="0" borderId="0" xfId="40" applyFont="1"/>
    <xf numFmtId="0" fontId="28" fillId="3" borderId="0" xfId="40" applyFont="1" applyFill="1"/>
    <xf numFmtId="0" fontId="28" fillId="0" borderId="0" xfId="40" applyFont="1" applyAlignment="1">
      <alignment horizontal="left" vertical="center"/>
    </xf>
    <xf numFmtId="0" fontId="39" fillId="0" borderId="0" xfId="40" applyFont="1" applyAlignment="1">
      <alignment horizontal="center" vertical="center"/>
    </xf>
    <xf numFmtId="0" fontId="30" fillId="9" borderId="0" xfId="0" applyFont="1" applyFill="1" applyAlignment="1">
      <alignment horizontal="center" vertical="center"/>
    </xf>
    <xf numFmtId="0" fontId="29" fillId="9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left"/>
    </xf>
    <xf numFmtId="0" fontId="0" fillId="9" borderId="0" xfId="0" applyFill="1" applyAlignment="1">
      <alignment horizontal="left"/>
    </xf>
    <xf numFmtId="0" fontId="6" fillId="0" borderId="6" xfId="41" applyFont="1" applyBorder="1" applyAlignment="1">
      <alignment horizontal="center" wrapText="1"/>
    </xf>
    <xf numFmtId="0" fontId="6" fillId="0" borderId="7" xfId="41" applyFont="1" applyBorder="1" applyAlignment="1">
      <alignment horizontal="center" wrapText="1"/>
    </xf>
    <xf numFmtId="0" fontId="6" fillId="0" borderId="12" xfId="41" applyFont="1" applyBorder="1" applyAlignment="1">
      <alignment horizontal="center" wrapText="1"/>
    </xf>
    <xf numFmtId="0" fontId="6" fillId="0" borderId="16" xfId="41" applyFont="1" applyBorder="1" applyAlignment="1">
      <alignment horizontal="center" vertical="center" wrapText="1"/>
    </xf>
    <xf numFmtId="0" fontId="7" fillId="0" borderId="5" xfId="41" applyBorder="1" applyAlignment="1">
      <alignment horizontal="center" vertical="center" wrapText="1"/>
    </xf>
    <xf numFmtId="0" fontId="7" fillId="0" borderId="8" xfId="41" applyBorder="1" applyAlignment="1">
      <alignment horizontal="center" vertical="center" wrapText="1"/>
    </xf>
  </cellXfs>
  <cellStyles count="4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 2" xfId="39" xr:uid="{00000000-0005-0000-0000-000024000000}"/>
    <cellStyle name="Normal" xfId="0" builtinId="0"/>
    <cellStyle name="Normal 2" xfId="37" xr:uid="{00000000-0005-0000-0000-000026000000}"/>
    <cellStyle name="Normal 2 2" xfId="38" xr:uid="{00000000-0005-0000-0000-000027000000}"/>
    <cellStyle name="Normal 3" xfId="40" xr:uid="{00000000-0005-0000-0000-000028000000}"/>
    <cellStyle name="Normal_Supplier Segmentation Matrix" xfId="41" xr:uid="{00000000-0005-0000-0000-000029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70C0"/>
                </a:solidFill>
                <a:latin typeface="Arial" panose="020B0604020202020204" pitchFamily="34" charset="0"/>
                <a:ea typeface="Arial"/>
                <a:cs typeface="Arial" panose="020B0604020202020204" pitchFamily="34" charset="0"/>
              </a:defRPr>
            </a:pPr>
            <a:r>
              <a:rPr lang="en-US" sz="1200" b="1">
                <a:solidFill>
                  <a:srgbClr val="0070C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Category Segmentation</a:t>
            </a:r>
          </a:p>
        </c:rich>
      </c:tx>
      <c:layout>
        <c:manualLayout>
          <c:xMode val="edge"/>
          <c:yMode val="edge"/>
          <c:x val="0.348511999140039"/>
          <c:y val="1.6927589933611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409428859415393E-2"/>
          <c:y val="0.112651165083238"/>
          <c:w val="0.81162061016137299"/>
          <c:h val="0.79187739830393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Semiconductors (Strategic)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5431-AB43-8BD9-A8DA5D08616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Category_Data!$B$2</c:f>
              <c:numCache>
                <c:formatCode>General</c:formatCode>
                <c:ptCount val="1"/>
                <c:pt idx="0">
                  <c:v>22</c:v>
                </c:pt>
              </c:numCache>
            </c:numRef>
          </c:xVal>
          <c:yVal>
            <c:numRef>
              <c:f>Category_Data!$C$2</c:f>
              <c:numCache>
                <c:formatCode>General</c:formatCode>
                <c:ptCount val="1"/>
                <c:pt idx="0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431-AB43-8BD9-A8DA5D086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668744"/>
        <c:axId val="2137729416"/>
      </c:scatterChart>
      <c:valAx>
        <c:axId val="2135668744"/>
        <c:scaling>
          <c:orientation val="minMax"/>
          <c:max val="24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Arial"/>
                    <a:cs typeface="Arial" panose="020B0604020202020204" pitchFamily="34" charset="0"/>
                  </a:defRPr>
                </a:pPr>
                <a:r>
                  <a:rPr lang="en-US" sz="1000" b="0">
                    <a:latin typeface="Arial" panose="020B0604020202020204" pitchFamily="34" charset="0"/>
                    <a:cs typeface="Arial" panose="020B0604020202020204" pitchFamily="34" charset="0"/>
                    <a:sym typeface="Wingdings"/>
                  </a:rPr>
                  <a:t></a:t>
                </a:r>
                <a:r>
                  <a:rPr lang="en-US" sz="1000" b="0">
                    <a:latin typeface="Arial" panose="020B0604020202020204" pitchFamily="34" charset="0"/>
                    <a:cs typeface="Arial" panose="020B0604020202020204" pitchFamily="34" charset="0"/>
                  </a:rPr>
                  <a:t>Spend &amp; Product Differentiation </a:t>
                </a:r>
                <a:r>
                  <a:rPr lang="en-US" sz="1000" b="0">
                    <a:latin typeface="Arial" panose="020B0604020202020204" pitchFamily="34" charset="0"/>
                    <a:cs typeface="Arial" panose="020B0604020202020204" pitchFamily="34" charset="0"/>
                    <a:sym typeface="Wingdings"/>
                  </a:rPr>
                  <a:t></a:t>
                </a:r>
                <a:endParaRPr lang="en-US" sz="1000" b="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0450350702749202"/>
              <c:y val="0.91669514038017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7729416"/>
        <c:crosses val="autoZero"/>
        <c:crossBetween val="midCat"/>
        <c:majorUnit val="12"/>
        <c:minorUnit val="12"/>
      </c:valAx>
      <c:valAx>
        <c:axId val="2137729416"/>
        <c:scaling>
          <c:orientation val="minMax"/>
          <c:max val="24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Arial"/>
                    <a:cs typeface="Arial" panose="020B0604020202020204" pitchFamily="34" charset="0"/>
                  </a:defRPr>
                </a:pPr>
                <a:r>
                  <a:rPr lang="en-US" sz="1000" b="0" i="0" baseline="0">
                    <a:latin typeface="Arial" panose="020B0604020202020204" pitchFamily="34" charset="0"/>
                    <a:cs typeface="Arial" panose="020B0604020202020204" pitchFamily="34" charset="0"/>
                    <a:sym typeface="Wingdings"/>
                  </a:rPr>
                  <a:t> </a:t>
                </a:r>
                <a:r>
                  <a:rPr lang="en-US" sz="1000" b="0" i="0" baseline="0">
                    <a:latin typeface="Arial" panose="020B0604020202020204" pitchFamily="34" charset="0"/>
                    <a:cs typeface="Arial" panose="020B0604020202020204" pitchFamily="34" charset="0"/>
                  </a:rPr>
                  <a:t>Market Difficulty </a:t>
                </a:r>
                <a:r>
                  <a:rPr lang="en-US" sz="1000" b="0" i="0" baseline="0">
                    <a:latin typeface="Arial" panose="020B0604020202020204" pitchFamily="34" charset="0"/>
                    <a:cs typeface="Arial" panose="020B0604020202020204" pitchFamily="34" charset="0"/>
                    <a:sym typeface="Wingdings"/>
                  </a:rPr>
                  <a:t></a:t>
                </a:r>
                <a:endParaRPr lang="en-US" sz="1000" b="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4.64058119014987E-2"/>
              <c:y val="0.264516662689890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5668744"/>
        <c:crosses val="autoZero"/>
        <c:crossBetween val="midCat"/>
        <c:majorUnit val="12"/>
        <c:minorUnit val="12"/>
      </c:valAx>
      <c:spPr>
        <a:noFill/>
        <a:ln w="31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70C0"/>
                </a:solidFill>
                <a:latin typeface="Arial" panose="020B0604020202020204" pitchFamily="34" charset="0"/>
                <a:ea typeface="Arial"/>
                <a:cs typeface="Arial" panose="020B0604020202020204" pitchFamily="34" charset="0"/>
              </a:defRPr>
            </a:pPr>
            <a:r>
              <a:rPr lang="en-US" sz="1200" b="1">
                <a:solidFill>
                  <a:srgbClr val="0070C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Supplier Preference</a:t>
            </a:r>
          </a:p>
        </c:rich>
      </c:tx>
      <c:layout>
        <c:manualLayout>
          <c:xMode val="edge"/>
          <c:yMode val="edge"/>
          <c:x val="0.348511999140039"/>
          <c:y val="1.6927589933611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409428859415393E-2"/>
          <c:y val="0.112651165083238"/>
          <c:w val="0.81162061016137299"/>
          <c:h val="0.79187739830393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Samsung Inc. (Develop)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48FC-1C48-AA25-8317374763F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Preference_Data!$B$2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Preference_Data!$C$2</c:f>
              <c:numCache>
                <c:formatCode>General</c:formatCode>
                <c:ptCount val="1"/>
                <c:pt idx="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48FC-1C48-AA25-8317374763F3}"/>
            </c:ext>
          </c:extLst>
        </c:ser>
        <c:ser>
          <c:idx val="1"/>
          <c:order val="1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Qualcomm Inc. (Develop)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48FC-1C48-AA25-8317374763F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Preference_Data!$B$3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Preference_Data!$C$3</c:f>
              <c:numCache>
                <c:formatCode>General</c:formatCode>
                <c:ptCount val="1"/>
                <c:pt idx="0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48FC-1C48-AA25-8317374763F3}"/>
            </c:ext>
          </c:extLst>
        </c:ser>
        <c:ser>
          <c:idx val="2"/>
          <c:order val="2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Intel Inc. (Develop)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48FC-1C48-AA25-8317374763F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Preference_Data!$B$4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Preference_Data!$C$4</c:f>
              <c:numCache>
                <c:formatCode>General</c:formatCode>
                <c:ptCount val="1"/>
                <c:pt idx="0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48FC-1C48-AA25-8317374763F3}"/>
            </c:ext>
          </c:extLst>
        </c:ser>
        <c:ser>
          <c:idx val="3"/>
          <c:order val="3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Huawei Inc. (Develop)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48FC-1C48-AA25-8317374763F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Preference_Data!$B$5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Preference_Data!$C$5</c:f>
              <c:numCache>
                <c:formatCode>General</c:formatCode>
                <c:ptCount val="1"/>
                <c:pt idx="0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48FC-1C48-AA25-831737476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061432"/>
        <c:axId val="2133909736"/>
      </c:scatterChart>
      <c:valAx>
        <c:axId val="2137061432"/>
        <c:scaling>
          <c:orientation val="minMax"/>
          <c:max val="24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Arial"/>
                    <a:cs typeface="Arial" panose="020B0604020202020204" pitchFamily="34" charset="0"/>
                  </a:defRPr>
                </a:pPr>
                <a:r>
                  <a:rPr lang="en-US" sz="1000" b="0">
                    <a:latin typeface="Arial" panose="020B0604020202020204" pitchFamily="34" charset="0"/>
                    <a:cs typeface="Arial" panose="020B0604020202020204" pitchFamily="34" charset="0"/>
                    <a:sym typeface="Wingdings"/>
                  </a:rPr>
                  <a:t> </a:t>
                </a:r>
                <a:r>
                  <a:rPr lang="en-US" sz="1000" b="0">
                    <a:latin typeface="Arial" panose="020B0604020202020204" pitchFamily="34" charset="0"/>
                    <a:cs typeface="Arial" panose="020B0604020202020204" pitchFamily="34" charset="0"/>
                  </a:rPr>
                  <a:t>Percentage of Supplier Business </a:t>
                </a:r>
                <a:r>
                  <a:rPr lang="en-US" sz="1000" b="0">
                    <a:latin typeface="Arial" panose="020B0604020202020204" pitchFamily="34" charset="0"/>
                    <a:cs typeface="Arial" panose="020B0604020202020204" pitchFamily="34" charset="0"/>
                    <a:sym typeface="Wingdings"/>
                  </a:rPr>
                  <a:t></a:t>
                </a:r>
                <a:endParaRPr lang="en-US" sz="1000" b="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29540225560542099"/>
              <c:y val="0.912654736339776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3909736"/>
        <c:crosses val="autoZero"/>
        <c:crossBetween val="midCat"/>
        <c:majorUnit val="12"/>
        <c:minorUnit val="12"/>
      </c:valAx>
      <c:valAx>
        <c:axId val="2133909736"/>
        <c:scaling>
          <c:orientation val="minMax"/>
          <c:max val="24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Arial"/>
                    <a:cs typeface="Arial" panose="020B0604020202020204" pitchFamily="34" charset="0"/>
                  </a:defRPr>
                </a:pPr>
                <a:r>
                  <a:rPr lang="en-US" sz="1000" b="0" i="0" baseline="0">
                    <a:latin typeface="Arial" panose="020B0604020202020204" pitchFamily="34" charset="0"/>
                    <a:cs typeface="Arial" panose="020B0604020202020204" pitchFamily="34" charset="0"/>
                    <a:sym typeface="Wingdings"/>
                  </a:rPr>
                  <a:t> </a:t>
                </a:r>
                <a:r>
                  <a:rPr lang="en-US" sz="1000" b="0" i="0" baseline="0">
                    <a:latin typeface="Arial" panose="020B0604020202020204" pitchFamily="34" charset="0"/>
                    <a:cs typeface="Arial" panose="020B0604020202020204" pitchFamily="34" charset="0"/>
                  </a:rPr>
                  <a:t>Fit to Supplier Business </a:t>
                </a:r>
                <a:r>
                  <a:rPr lang="en-US" sz="1000" b="0" i="0" baseline="0">
                    <a:latin typeface="Arial" panose="020B0604020202020204" pitchFamily="34" charset="0"/>
                    <a:cs typeface="Arial" panose="020B0604020202020204" pitchFamily="34" charset="0"/>
                    <a:sym typeface="Wingdings"/>
                  </a:rPr>
                  <a:t></a:t>
                </a:r>
                <a:endParaRPr lang="en-US" sz="1000" b="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4.8681124757016303E-2"/>
              <c:y val="0.244314642487870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7061432"/>
        <c:crosses val="autoZero"/>
        <c:crossBetween val="midCat"/>
        <c:majorUnit val="12"/>
        <c:minorUnit val="12"/>
      </c:valAx>
      <c:spPr>
        <a:noFill/>
        <a:ln w="31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70C0"/>
                </a:solidFill>
                <a:latin typeface="Arial" panose="020B0604020202020204" pitchFamily="34" charset="0"/>
                <a:ea typeface="Arial"/>
                <a:cs typeface="Arial" panose="020B0604020202020204" pitchFamily="34" charset="0"/>
              </a:defRPr>
            </a:pPr>
            <a:r>
              <a:rPr lang="en-US" sz="1200" b="1">
                <a:solidFill>
                  <a:srgbClr val="0070C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Supplier Segmentation</a:t>
            </a:r>
          </a:p>
        </c:rich>
      </c:tx>
      <c:layout>
        <c:manualLayout>
          <c:xMode val="edge"/>
          <c:yMode val="edge"/>
          <c:x val="0.348511999140039"/>
          <c:y val="1.6927589933611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409428859415393E-2"/>
          <c:y val="0.112651165083238"/>
          <c:w val="0.81162061016137299"/>
          <c:h val="0.791877398303935"/>
        </c:manualLayout>
      </c:layout>
      <c:scatterChart>
        <c:scatterStyle val="lineMarker"/>
        <c:varyColors val="0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Samsung Inc. (Preferred)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9FA1-EA45-B1BA-5C69C3C2D6E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"/>
              <c:pt idx="0">
                <c:v>20.452749252319336</c:v>
              </c:pt>
            </c:numLit>
          </c:xVal>
          <c:yVal>
            <c:numLit>
              <c:formatCode>General</c:formatCode>
              <c:ptCount val="1"/>
              <c:pt idx="0">
                <c:v>1.7997729778289795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6-9FA1-EA45-B1BA-5C69C3C2D6E1}"/>
            </c:ext>
          </c:extLst>
        </c:ser>
        <c:ser>
          <c:idx val="1"/>
          <c:order val="1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Qualcomm Inc. (Preferred)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9FA1-EA45-B1BA-5C69C3C2D6E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"/>
              <c:pt idx="0">
                <c:v>18.362550258636475</c:v>
              </c:pt>
            </c:numLit>
          </c:xVal>
          <c:yVal>
            <c:numLit>
              <c:formatCode>General</c:formatCode>
              <c:ptCount val="1"/>
              <c:pt idx="0">
                <c:v>11.145431756973267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8-9FA1-EA45-B1BA-5C69C3C2D6E1}"/>
            </c:ext>
          </c:extLst>
        </c:ser>
        <c:ser>
          <c:idx val="2"/>
          <c:order val="2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Intel Inc. (Preferred)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9FA1-EA45-B1BA-5C69C3C2D6E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"/>
              <c:pt idx="0">
                <c:v>21.092751502990723</c:v>
              </c:pt>
            </c:numLit>
          </c:xVal>
          <c:yVal>
            <c:numLit>
              <c:formatCode>General</c:formatCode>
              <c:ptCount val="1"/>
              <c:pt idx="0">
                <c:v>1.0756967067718506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A-9FA1-EA45-B1BA-5C69C3C2D6E1}"/>
            </c:ext>
          </c:extLst>
        </c:ser>
        <c:ser>
          <c:idx val="3"/>
          <c:order val="3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Huawei Inc. (Preferred)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9FA1-EA45-B1BA-5C69C3C2D6E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"/>
              <c:pt idx="0">
                <c:v>17.542492389678955</c:v>
              </c:pt>
            </c:numLit>
          </c:xVal>
          <c:yVal>
            <c:numLit>
              <c:formatCode>General</c:formatCode>
              <c:ptCount val="1"/>
              <c:pt idx="0">
                <c:v>4.8221046924591064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C-9FA1-EA45-B1BA-5C69C3C2D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940168"/>
        <c:axId val="2137211976"/>
      </c:scatterChart>
      <c:valAx>
        <c:axId val="2137940168"/>
        <c:scaling>
          <c:orientation val="minMax"/>
          <c:max val="24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Arial"/>
                    <a:cs typeface="Arial" panose="020B0604020202020204" pitchFamily="34" charset="0"/>
                  </a:defRPr>
                </a:pPr>
                <a:r>
                  <a:rPr lang="en-US" sz="1000" b="0">
                    <a:latin typeface="Arial" panose="020B0604020202020204" pitchFamily="34" charset="0"/>
                    <a:cs typeface="Arial" panose="020B0604020202020204" pitchFamily="34" charset="0"/>
                    <a:sym typeface="Wingdings"/>
                  </a:rPr>
                  <a:t></a:t>
                </a:r>
                <a:r>
                  <a:rPr lang="en-US" sz="1000" b="0">
                    <a:latin typeface="Arial" panose="020B0604020202020204" pitchFamily="34" charset="0"/>
                    <a:cs typeface="Arial" panose="020B0604020202020204" pitchFamily="34" charset="0"/>
                  </a:rPr>
                  <a:t>Spend &amp; Product Differentiation </a:t>
                </a:r>
                <a:r>
                  <a:rPr lang="en-US" sz="1000" b="0">
                    <a:latin typeface="Arial" panose="020B0604020202020204" pitchFamily="34" charset="0"/>
                    <a:cs typeface="Arial" panose="020B0604020202020204" pitchFamily="34" charset="0"/>
                    <a:sym typeface="Wingdings"/>
                  </a:rPr>
                  <a:t></a:t>
                </a:r>
                <a:endParaRPr lang="en-US" sz="1000" b="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2043069701611498"/>
              <c:y val="0.91669514038017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7211976"/>
        <c:crosses val="autoZero"/>
        <c:crossBetween val="midCat"/>
        <c:majorUnit val="12"/>
        <c:minorUnit val="12"/>
      </c:valAx>
      <c:valAx>
        <c:axId val="2137211976"/>
        <c:scaling>
          <c:orientation val="minMax"/>
          <c:max val="24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Arial"/>
                    <a:cs typeface="Arial" panose="020B0604020202020204" pitchFamily="34" charset="0"/>
                  </a:defRPr>
                </a:pPr>
                <a:r>
                  <a:rPr lang="en-US" sz="1000" b="0" i="0" baseline="0">
                    <a:latin typeface="Arial" panose="020B0604020202020204" pitchFamily="34" charset="0"/>
                    <a:cs typeface="Arial" panose="020B0604020202020204" pitchFamily="34" charset="0"/>
                    <a:sym typeface="Wingdings"/>
                  </a:rPr>
                  <a:t> </a:t>
                </a:r>
                <a:r>
                  <a:rPr lang="en-US" sz="1000" b="0" i="0" baseline="0">
                    <a:latin typeface="Arial" panose="020B0604020202020204" pitchFamily="34" charset="0"/>
                    <a:cs typeface="Arial" panose="020B0604020202020204" pitchFamily="34" charset="0"/>
                  </a:rPr>
                  <a:t>Enterprise Risk </a:t>
                </a:r>
                <a:r>
                  <a:rPr lang="en-US" sz="1000" b="0" i="0" baseline="0">
                    <a:latin typeface="Arial" panose="020B0604020202020204" pitchFamily="34" charset="0"/>
                    <a:cs typeface="Arial" panose="020B0604020202020204" pitchFamily="34" charset="0"/>
                    <a:sym typeface="Wingdings"/>
                  </a:rPr>
                  <a:t></a:t>
                </a:r>
                <a:endParaRPr lang="en-US" sz="1000" b="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4.64058119014987E-2"/>
              <c:y val="0.24835504652827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7940168"/>
        <c:crosses val="autoZero"/>
        <c:crossBetween val="midCat"/>
        <c:majorUnit val="12"/>
        <c:minorUnit val="12"/>
      </c:valAx>
      <c:spPr>
        <a:noFill/>
        <a:ln w="31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Calibri"/>
                <a:cs typeface="Arial" panose="020B0604020202020204" pitchFamily="34" charset="0"/>
              </a:defRPr>
            </a:pPr>
            <a:r>
              <a:rPr lang="en-US" sz="1200">
                <a:solidFill>
                  <a:schemeClr val="tx2">
                    <a:lumMod val="60000"/>
                    <a:lumOff val="4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Supplier Heat Map</a:t>
            </a:r>
          </a:p>
        </c:rich>
      </c:tx>
      <c:layout>
        <c:manualLayout>
          <c:xMode val="edge"/>
          <c:yMode val="edge"/>
          <c:x val="0.40621221848100902"/>
          <c:y val="2.22551075587913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7220861119482"/>
          <c:y val="0.109255991242301"/>
          <c:w val="0.80984927139644403"/>
          <c:h val="0.7711127817565509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Samsung Inc.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9BDC-184A-AF1F-0226D4A644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Heatmap_Data!$B$2</c:f>
              <c:numCache>
                <c:formatCode>General</c:formatCode>
                <c:ptCount val="1"/>
                <c:pt idx="0">
                  <c:v>35.9375</c:v>
                </c:pt>
              </c:numCache>
            </c:numRef>
          </c:xVal>
          <c:yVal>
            <c:numRef>
              <c:f>Heatmap_Data!$C$2</c:f>
              <c:numCache>
                <c:formatCode>General</c:formatCode>
                <c:ptCount val="1"/>
                <c:pt idx="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9BDC-184A-AF1F-0226D4A64482}"/>
            </c:ext>
          </c:extLst>
        </c:ser>
        <c:ser>
          <c:idx val="1"/>
          <c:order val="1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Qualcomm Inc.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9BDC-184A-AF1F-0226D4A644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Heatmap_Data!$B$3</c:f>
              <c:numCache>
                <c:formatCode>General</c:formatCode>
                <c:ptCount val="1"/>
                <c:pt idx="0">
                  <c:v>45.3125</c:v>
                </c:pt>
              </c:numCache>
            </c:numRef>
          </c:xVal>
          <c:yVal>
            <c:numRef>
              <c:f>Heatmap_Data!$C$3</c:f>
              <c:numCache>
                <c:formatCode>General</c:formatCode>
                <c:ptCount val="1"/>
                <c:pt idx="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9BDC-184A-AF1F-0226D4A64482}"/>
            </c:ext>
          </c:extLst>
        </c:ser>
        <c:ser>
          <c:idx val="2"/>
          <c:order val="2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Intel Inc.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9BDC-184A-AF1F-0226D4A644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Heatmap_Data!$B$4</c:f>
              <c:numCache>
                <c:formatCode>General</c:formatCode>
                <c:ptCount val="1"/>
                <c:pt idx="0">
                  <c:v>56.25</c:v>
                </c:pt>
              </c:numCache>
            </c:numRef>
          </c:xVal>
          <c:yVal>
            <c:numRef>
              <c:f>Heatmap_Data!$C$4</c:f>
              <c:numCache>
                <c:formatCode>General</c:formatCode>
                <c:ptCount val="1"/>
                <c:pt idx="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9BDC-184A-AF1F-0226D4A64482}"/>
            </c:ext>
          </c:extLst>
        </c:ser>
        <c:ser>
          <c:idx val="3"/>
          <c:order val="3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Huawei Inc.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9BDC-184A-AF1F-0226D4A644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Heatmap_Data!$B$5</c:f>
              <c:numCache>
                <c:formatCode>General</c:formatCode>
                <c:ptCount val="1"/>
                <c:pt idx="0">
                  <c:v>62.5</c:v>
                </c:pt>
              </c:numCache>
            </c:numRef>
          </c:xVal>
          <c:yVal>
            <c:numRef>
              <c:f>Heatmap_Data!$C$5</c:f>
              <c:numCache>
                <c:formatCode>General</c:formatCode>
                <c:ptCount val="1"/>
                <c:pt idx="0">
                  <c:v>77.777777777777786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9BDC-184A-AF1F-0226D4A64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980664"/>
        <c:axId val="2137954536"/>
      </c:scatterChart>
      <c:valAx>
        <c:axId val="2137980664"/>
        <c:scaling>
          <c:orientation val="minMax"/>
          <c:max val="100"/>
          <c:min val="0"/>
        </c:scaling>
        <c:delete val="0"/>
        <c:axPos val="b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66CC"/>
                    </a:solidFill>
                    <a:latin typeface="Arial" panose="020B0604020202020204" pitchFamily="34" charset="0"/>
                    <a:ea typeface="Calibri"/>
                    <a:cs typeface="Arial" panose="020B0604020202020204" pitchFamily="34" charset="0"/>
                  </a:defRPr>
                </a:pPr>
                <a:r>
                  <a:rPr lang="en-US" sz="1200">
                    <a:latin typeface="Arial" panose="020B0604020202020204" pitchFamily="34" charset="0"/>
                    <a:cs typeface="Arial" panose="020B0604020202020204" pitchFamily="34" charset="0"/>
                  </a:rPr>
                  <a:t>Risk Probability</a:t>
                </a:r>
              </a:p>
            </c:rich>
          </c:tx>
          <c:layout>
            <c:manualLayout>
              <c:xMode val="edge"/>
              <c:yMode val="edge"/>
              <c:x val="0.44463835770528698"/>
              <c:y val="0.93513430502038297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137954536"/>
        <c:crosses val="autoZero"/>
        <c:crossBetween val="midCat"/>
        <c:majorUnit val="10"/>
      </c:valAx>
      <c:valAx>
        <c:axId val="2137954536"/>
        <c:scaling>
          <c:orientation val="minMax"/>
          <c:max val="100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66CC"/>
                    </a:solidFill>
                    <a:latin typeface="Arial" panose="020B0604020202020204" pitchFamily="34" charset="0"/>
                    <a:ea typeface="Calibri"/>
                    <a:cs typeface="Arial" panose="020B0604020202020204" pitchFamily="34" charset="0"/>
                  </a:defRPr>
                </a:pPr>
                <a:r>
                  <a:rPr lang="en-US" sz="1200">
                    <a:latin typeface="Arial" panose="020B0604020202020204" pitchFamily="34" charset="0"/>
                    <a:cs typeface="Arial" panose="020B0604020202020204" pitchFamily="34" charset="0"/>
                  </a:rPr>
                  <a:t>Supplier Impact</a:t>
                </a:r>
              </a:p>
            </c:rich>
          </c:tx>
          <c:layout>
            <c:manualLayout>
              <c:xMode val="edge"/>
              <c:yMode val="edge"/>
              <c:x val="1.11732283464567E-2"/>
              <c:y val="0.39888051227639099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137980664"/>
        <c:crosses val="autoZero"/>
        <c:crossBetween val="midCat"/>
        <c:majorUnit val="10"/>
      </c:valAx>
      <c:spPr>
        <a:gradFill>
          <a:gsLst>
            <a:gs pos="0">
              <a:srgbClr val="00B050"/>
            </a:gs>
            <a:gs pos="49000">
              <a:srgbClr val="FFFF00"/>
            </a:gs>
            <a:gs pos="100000">
              <a:srgbClr val="FF0000"/>
            </a:gs>
          </a:gsLst>
          <a:lin ang="189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095" r="0.70000000000000095" t="0.750000000000002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70C0"/>
                </a:solidFill>
                <a:latin typeface="Arial"/>
                <a:ea typeface="Arial"/>
                <a:cs typeface="Arial"/>
              </a:defRPr>
            </a:pPr>
            <a:r>
              <a:rPr lang="en-US" sz="1400" b="0">
                <a:solidFill>
                  <a:srgbClr val="0070C0"/>
                </a:solidFill>
                <a:latin typeface="Calibri" pitchFamily="34" charset="0"/>
              </a:rPr>
              <a:t>Category Segmentation</a:t>
            </a:r>
          </a:p>
        </c:rich>
      </c:tx>
      <c:layout>
        <c:manualLayout>
          <c:xMode val="edge"/>
          <c:yMode val="edge"/>
          <c:x val="0.348511999140039"/>
          <c:y val="1.6927589933611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409428859415393E-2"/>
          <c:y val="0.112651165083238"/>
          <c:w val="0.81162061016137299"/>
          <c:h val="0.79187739830393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Semiconductors (Strategic)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E15-2E40-B4CB-9C5360D53CE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'Category&gt; Semiconductors'!$B$100</c:f>
              <c:numCache>
                <c:formatCode>General</c:formatCode>
                <c:ptCount val="1"/>
                <c:pt idx="0">
                  <c:v>22</c:v>
                </c:pt>
              </c:numCache>
            </c:numRef>
          </c:xVal>
          <c:yVal>
            <c:numRef>
              <c:f>'Category&gt; Semiconductors'!$C$100</c:f>
              <c:numCache>
                <c:formatCode>General</c:formatCode>
                <c:ptCount val="1"/>
                <c:pt idx="0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15-2E40-B4CB-9C5360D53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217512"/>
        <c:axId val="2139018824"/>
      </c:scatterChart>
      <c:valAx>
        <c:axId val="2138217512"/>
        <c:scaling>
          <c:orientation val="minMax"/>
          <c:max val="24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Calibri Light" pitchFamily="34" charset="0"/>
                    <a:ea typeface="Arial"/>
                    <a:cs typeface="Arial"/>
                  </a:defRPr>
                </a:pPr>
                <a:r>
                  <a:rPr lang="en-US" sz="1200" b="0">
                    <a:latin typeface="Calibri Light" pitchFamily="34" charset="0"/>
                    <a:sym typeface="Wingdings"/>
                  </a:rPr>
                  <a:t></a:t>
                </a:r>
                <a:r>
                  <a:rPr lang="en-US" sz="1200" b="0">
                    <a:latin typeface="Calibri Light" pitchFamily="34" charset="0"/>
                  </a:rPr>
                  <a:t>Spend &amp; Product Differentiation </a:t>
                </a:r>
                <a:r>
                  <a:rPr lang="en-US" sz="1200" b="0">
                    <a:latin typeface="Calibri Light" pitchFamily="34" charset="0"/>
                    <a:sym typeface="Wingdings"/>
                  </a:rPr>
                  <a:t></a:t>
                </a:r>
                <a:endParaRPr lang="en-US" sz="1200" b="0">
                  <a:latin typeface="Calibri Light" pitchFamily="34" charset="0"/>
                </a:endParaRPr>
              </a:p>
            </c:rich>
          </c:tx>
          <c:layout>
            <c:manualLayout>
              <c:xMode val="edge"/>
              <c:yMode val="edge"/>
              <c:x val="0.35280018199536201"/>
              <c:y val="0.916695178581100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9018824"/>
        <c:crosses val="autoZero"/>
        <c:crossBetween val="midCat"/>
        <c:majorUnit val="12"/>
        <c:minorUnit val="12"/>
      </c:valAx>
      <c:valAx>
        <c:axId val="2139018824"/>
        <c:scaling>
          <c:orientation val="minMax"/>
          <c:max val="24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/>
                    </a:solidFill>
                    <a:latin typeface="Calibri Light" pitchFamily="34" charset="0"/>
                    <a:ea typeface="Arial"/>
                    <a:cs typeface="Arial"/>
                  </a:defRPr>
                </a:pPr>
                <a:r>
                  <a:rPr lang="en-US" sz="1200" b="0" i="0" baseline="0">
                    <a:latin typeface="Calibri Light" pitchFamily="34" charset="0"/>
                    <a:sym typeface="Wingdings"/>
                  </a:rPr>
                  <a:t> </a:t>
                </a:r>
                <a:r>
                  <a:rPr lang="en-US" sz="1200" b="0" i="0" baseline="0">
                    <a:latin typeface="Calibri Light" pitchFamily="34" charset="0"/>
                  </a:rPr>
                  <a:t>Market Difficulty </a:t>
                </a:r>
                <a:r>
                  <a:rPr lang="en-US" sz="1200" b="0" i="0" baseline="0">
                    <a:latin typeface="Calibri Light" pitchFamily="34" charset="0"/>
                    <a:sym typeface="Wingdings"/>
                  </a:rPr>
                  <a:t></a:t>
                </a:r>
                <a:endParaRPr lang="en-US" sz="1200" b="0">
                  <a:latin typeface="Calibri Light" pitchFamily="34" charset="0"/>
                </a:endParaRPr>
              </a:p>
            </c:rich>
          </c:tx>
          <c:layout>
            <c:manualLayout>
              <c:xMode val="edge"/>
              <c:yMode val="edge"/>
              <c:x val="4.6405829284276098E-2"/>
              <c:y val="0.341775259400986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8217512"/>
        <c:crosses val="autoZero"/>
        <c:crossBetween val="midCat"/>
        <c:majorUnit val="12"/>
        <c:minorUnit val="1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70C0"/>
                </a:solidFill>
                <a:latin typeface="Arial"/>
                <a:ea typeface="Arial"/>
                <a:cs typeface="Arial"/>
              </a:defRPr>
            </a:pPr>
            <a:r>
              <a:rPr lang="en-US" sz="1400" b="0">
                <a:solidFill>
                  <a:srgbClr val="0070C0"/>
                </a:solidFill>
                <a:latin typeface="Calibri" pitchFamily="34" charset="0"/>
              </a:rPr>
              <a:t>Category Segmentation</a:t>
            </a:r>
          </a:p>
        </c:rich>
      </c:tx>
      <c:layout>
        <c:manualLayout>
          <c:xMode val="edge"/>
          <c:yMode val="edge"/>
          <c:x val="0.348511999140039"/>
          <c:y val="1.6927589933611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409428859415393E-2"/>
          <c:y val="0.112651165083238"/>
          <c:w val="0.81162061016137299"/>
          <c:h val="0.79187739830393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365-3E41-9F97-DB337EACFCE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Category_Template!$B$100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Category_Template!$C$100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65-3E41-9F97-DB337EACF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217512"/>
        <c:axId val="2139018824"/>
      </c:scatterChart>
      <c:valAx>
        <c:axId val="2138217512"/>
        <c:scaling>
          <c:orientation val="minMax"/>
          <c:max val="24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Calibri Light" pitchFamily="34" charset="0"/>
                    <a:ea typeface="Arial"/>
                    <a:cs typeface="Arial"/>
                  </a:defRPr>
                </a:pPr>
                <a:r>
                  <a:rPr lang="en-US" sz="1200" b="0">
                    <a:latin typeface="Calibri Light" pitchFamily="34" charset="0"/>
                    <a:sym typeface="Wingdings"/>
                  </a:rPr>
                  <a:t></a:t>
                </a:r>
                <a:r>
                  <a:rPr lang="en-US" sz="1200" b="0">
                    <a:latin typeface="Calibri Light" pitchFamily="34" charset="0"/>
                  </a:rPr>
                  <a:t>Spend &amp; Product Differentiation </a:t>
                </a:r>
                <a:r>
                  <a:rPr lang="en-US" sz="1200" b="0">
                    <a:latin typeface="Calibri Light" pitchFamily="34" charset="0"/>
                    <a:sym typeface="Wingdings"/>
                  </a:rPr>
                  <a:t></a:t>
                </a:r>
                <a:endParaRPr lang="en-US" sz="1200" b="0">
                  <a:latin typeface="Calibri Light" pitchFamily="34" charset="0"/>
                </a:endParaRPr>
              </a:p>
            </c:rich>
          </c:tx>
          <c:layout>
            <c:manualLayout>
              <c:xMode val="edge"/>
              <c:yMode val="edge"/>
              <c:x val="0.35280018199536201"/>
              <c:y val="0.916695178581100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9018824"/>
        <c:crosses val="autoZero"/>
        <c:crossBetween val="midCat"/>
        <c:majorUnit val="12"/>
        <c:minorUnit val="12"/>
      </c:valAx>
      <c:valAx>
        <c:axId val="2139018824"/>
        <c:scaling>
          <c:orientation val="minMax"/>
          <c:max val="24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/>
                    </a:solidFill>
                    <a:latin typeface="Calibri Light" pitchFamily="34" charset="0"/>
                    <a:ea typeface="Arial"/>
                    <a:cs typeface="Arial"/>
                  </a:defRPr>
                </a:pPr>
                <a:r>
                  <a:rPr lang="en-US" sz="1200" b="0" i="0" baseline="0">
                    <a:latin typeface="Calibri Light" pitchFamily="34" charset="0"/>
                    <a:sym typeface="Wingdings"/>
                  </a:rPr>
                  <a:t> </a:t>
                </a:r>
                <a:r>
                  <a:rPr lang="en-US" sz="1200" b="0" i="0" baseline="0">
                    <a:latin typeface="Calibri Light" pitchFamily="34" charset="0"/>
                  </a:rPr>
                  <a:t>Market Difficulty </a:t>
                </a:r>
                <a:r>
                  <a:rPr lang="en-US" sz="1200" b="0" i="0" baseline="0">
                    <a:latin typeface="Calibri Light" pitchFamily="34" charset="0"/>
                    <a:sym typeface="Wingdings"/>
                  </a:rPr>
                  <a:t></a:t>
                </a:r>
                <a:endParaRPr lang="en-US" sz="1200" b="0">
                  <a:latin typeface="Calibri Light" pitchFamily="34" charset="0"/>
                </a:endParaRPr>
              </a:p>
            </c:rich>
          </c:tx>
          <c:layout>
            <c:manualLayout>
              <c:xMode val="edge"/>
              <c:yMode val="edge"/>
              <c:x val="4.6405829284276098E-2"/>
              <c:y val="0.341775259400986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8217512"/>
        <c:crosses val="autoZero"/>
        <c:crossBetween val="midCat"/>
        <c:majorUnit val="12"/>
        <c:minorUnit val="1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Supplier Heat Map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22084356150501"/>
          <c:y val="0.142756773723895"/>
          <c:w val="0.80984927139644403"/>
          <c:h val="0.7309117978236080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Samsung Inc.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BA7-7B43-84E2-5977F9B86B5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'Supplier&gt; Samsung Inc.'!$B$101</c:f>
              <c:numCache>
                <c:formatCode>General</c:formatCode>
                <c:ptCount val="1"/>
                <c:pt idx="0">
                  <c:v>35.9375</c:v>
                </c:pt>
              </c:numCache>
            </c:numRef>
          </c:xVal>
          <c:yVal>
            <c:numRef>
              <c:f>'Supplier&gt; Samsung Inc.'!$C$101</c:f>
              <c:numCache>
                <c:formatCode>General</c:formatCode>
                <c:ptCount val="1"/>
                <c:pt idx="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A7-7B43-84E2-5977F9B86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468360"/>
        <c:axId val="2139688408"/>
      </c:scatterChart>
      <c:valAx>
        <c:axId val="2139468360"/>
        <c:scaling>
          <c:orientation val="minMax"/>
          <c:max val="100"/>
          <c:min val="0"/>
        </c:scaling>
        <c:delete val="0"/>
        <c:axPos val="b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Risk Probability</a:t>
                </a:r>
              </a:p>
            </c:rich>
          </c:tx>
          <c:layout>
            <c:manualLayout>
              <c:xMode val="edge"/>
              <c:yMode val="edge"/>
              <c:x val="0.413053545971728"/>
              <c:y val="0.93513420029588001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139688408"/>
        <c:crosses val="autoZero"/>
        <c:crossBetween val="midCat"/>
        <c:majorUnit val="10"/>
      </c:valAx>
      <c:valAx>
        <c:axId val="21396884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Supplier Impact</a:t>
                </a:r>
              </a:p>
            </c:rich>
          </c:tx>
          <c:layout>
            <c:manualLayout>
              <c:xMode val="edge"/>
              <c:yMode val="edge"/>
              <c:x val="1.11732283464567E-2"/>
              <c:y val="0.39888051227639099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139468360"/>
        <c:crosses val="autoZero"/>
        <c:crossBetween val="midCat"/>
        <c:majorUnit val="10"/>
      </c:valAx>
      <c:spPr>
        <a:gradFill>
          <a:gsLst>
            <a:gs pos="0">
              <a:srgbClr val="00B050"/>
            </a:gs>
            <a:gs pos="49000">
              <a:srgbClr val="FFFF00"/>
            </a:gs>
            <a:gs pos="100000">
              <a:srgbClr val="FF0000"/>
            </a:gs>
          </a:gsLst>
          <a:lin ang="189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095" r="0.70000000000000095" t="0.750000000000002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70C0"/>
                </a:solidFill>
                <a:latin typeface="Arial"/>
                <a:ea typeface="Arial"/>
                <a:cs typeface="Arial"/>
              </a:defRPr>
            </a:pPr>
            <a:r>
              <a:rPr lang="en-US" sz="1400" b="0">
                <a:solidFill>
                  <a:srgbClr val="0070C0"/>
                </a:solidFill>
                <a:latin typeface="Calibri" pitchFamily="34" charset="0"/>
              </a:rPr>
              <a:t>Supplier Preference</a:t>
            </a:r>
          </a:p>
        </c:rich>
      </c:tx>
      <c:layout>
        <c:manualLayout>
          <c:xMode val="edge"/>
          <c:yMode val="edge"/>
          <c:x val="0.348511999140039"/>
          <c:y val="1.6927589933611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409428859415393E-2"/>
          <c:y val="0.112651165083238"/>
          <c:w val="0.81162061016137299"/>
          <c:h val="0.79187739830393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Samsung Inc. (Develop)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3B4C-7B4A-AE18-4583A74A000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'Supplier&gt; Samsung Inc.'!$B$100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'Supplier&gt; Samsung Inc.'!$C$100</c:f>
              <c:numCache>
                <c:formatCode>General</c:formatCode>
                <c:ptCount val="1"/>
                <c:pt idx="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B4C-7B4A-AE18-4583A74A0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695048"/>
        <c:axId val="2135109544"/>
      </c:scatterChart>
      <c:valAx>
        <c:axId val="2133695048"/>
        <c:scaling>
          <c:orientation val="minMax"/>
          <c:max val="24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Calibri Light" pitchFamily="34" charset="0"/>
                    <a:ea typeface="Arial"/>
                    <a:cs typeface="Arial"/>
                  </a:defRPr>
                </a:pPr>
                <a:r>
                  <a:rPr lang="en-US" sz="1200" b="0">
                    <a:latin typeface="Calibri Light" pitchFamily="34" charset="0"/>
                    <a:sym typeface="Wingdings"/>
                  </a:rPr>
                  <a:t> </a:t>
                </a:r>
                <a:r>
                  <a:rPr lang="en-US" sz="1200" b="0">
                    <a:latin typeface="Calibri Light" pitchFamily="34" charset="0"/>
                  </a:rPr>
                  <a:t>Percentage of Supplier Business </a:t>
                </a:r>
                <a:r>
                  <a:rPr lang="en-US" sz="1200" b="0">
                    <a:latin typeface="Calibri Light" pitchFamily="34" charset="0"/>
                    <a:sym typeface="Wingdings"/>
                  </a:rPr>
                  <a:t></a:t>
                </a:r>
                <a:endParaRPr lang="en-US" sz="1200" b="0">
                  <a:latin typeface="Calibri Light" pitchFamily="34" charset="0"/>
                </a:endParaRPr>
              </a:p>
            </c:rich>
          </c:tx>
          <c:layout>
            <c:manualLayout>
              <c:xMode val="edge"/>
              <c:yMode val="edge"/>
              <c:x val="0.29540225560542099"/>
              <c:y val="0.912654736339776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5109544"/>
        <c:crosses val="autoZero"/>
        <c:crossBetween val="midCat"/>
        <c:majorUnit val="12"/>
        <c:minorUnit val="12"/>
      </c:valAx>
      <c:valAx>
        <c:axId val="2135109544"/>
        <c:scaling>
          <c:orientation val="minMax"/>
          <c:max val="24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/>
                    </a:solidFill>
                    <a:latin typeface="Calibri Light" pitchFamily="34" charset="0"/>
                    <a:ea typeface="Arial"/>
                    <a:cs typeface="Arial"/>
                  </a:defRPr>
                </a:pPr>
                <a:r>
                  <a:rPr lang="en-US" sz="1200" b="0" i="0" baseline="0">
                    <a:latin typeface="Calibri Light" pitchFamily="34" charset="0"/>
                    <a:sym typeface="Wingdings"/>
                  </a:rPr>
                  <a:t> </a:t>
                </a:r>
                <a:r>
                  <a:rPr lang="en-US" sz="1200" b="0" i="0" baseline="0">
                    <a:latin typeface="Calibri Light" pitchFamily="34" charset="0"/>
                  </a:rPr>
                  <a:t>Fit to Supplier Business </a:t>
                </a:r>
                <a:r>
                  <a:rPr lang="en-US" sz="1200" b="0" i="0" baseline="0">
                    <a:latin typeface="Calibri Light" pitchFamily="34" charset="0"/>
                    <a:sym typeface="Wingdings"/>
                  </a:rPr>
                  <a:t></a:t>
                </a:r>
                <a:endParaRPr lang="en-US" sz="1200" b="0">
                  <a:latin typeface="Calibri Light" pitchFamily="34" charset="0"/>
                </a:endParaRPr>
              </a:p>
            </c:rich>
          </c:tx>
          <c:layout>
            <c:manualLayout>
              <c:xMode val="edge"/>
              <c:yMode val="edge"/>
              <c:x val="4.8681124757016303E-2"/>
              <c:y val="0.244314642487870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3695048"/>
        <c:crosses val="autoZero"/>
        <c:crossBetween val="midCat"/>
        <c:majorUnit val="12"/>
        <c:minorUnit val="1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Supplier Heat Map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22084356150501"/>
          <c:y val="0.142756773723895"/>
          <c:w val="0.80984927139644403"/>
          <c:h val="0.7309117978236080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Qualcomm Inc.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70C-2B4C-884E-E4691A3D109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'Supplier&gt; Qualcomm Inc.'!$B$101</c:f>
              <c:numCache>
                <c:formatCode>General</c:formatCode>
                <c:ptCount val="1"/>
                <c:pt idx="0">
                  <c:v>42.1875</c:v>
                </c:pt>
              </c:numCache>
            </c:numRef>
          </c:xVal>
          <c:yVal>
            <c:numRef>
              <c:f>'Supplier&gt; Qualcomm Inc.'!$C$101</c:f>
              <c:numCache>
                <c:formatCode>General</c:formatCode>
                <c:ptCount val="1"/>
                <c:pt idx="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0C-2B4C-884E-E4691A3D1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468360"/>
        <c:axId val="2139688408"/>
      </c:scatterChart>
      <c:valAx>
        <c:axId val="2139468360"/>
        <c:scaling>
          <c:orientation val="minMax"/>
          <c:max val="100"/>
          <c:min val="0"/>
        </c:scaling>
        <c:delete val="0"/>
        <c:axPos val="b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Risk Probability</a:t>
                </a:r>
              </a:p>
            </c:rich>
          </c:tx>
          <c:layout>
            <c:manualLayout>
              <c:xMode val="edge"/>
              <c:yMode val="edge"/>
              <c:x val="0.413053545971728"/>
              <c:y val="0.93513420029588001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139688408"/>
        <c:crosses val="autoZero"/>
        <c:crossBetween val="midCat"/>
        <c:majorUnit val="10"/>
      </c:valAx>
      <c:valAx>
        <c:axId val="21396884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Supplier Impact</a:t>
                </a:r>
              </a:p>
            </c:rich>
          </c:tx>
          <c:layout>
            <c:manualLayout>
              <c:xMode val="edge"/>
              <c:yMode val="edge"/>
              <c:x val="1.11732283464567E-2"/>
              <c:y val="0.39888051227639099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139468360"/>
        <c:crosses val="autoZero"/>
        <c:crossBetween val="midCat"/>
        <c:majorUnit val="10"/>
      </c:valAx>
      <c:spPr>
        <a:gradFill>
          <a:gsLst>
            <a:gs pos="0">
              <a:srgbClr val="00B050"/>
            </a:gs>
            <a:gs pos="49000">
              <a:srgbClr val="FFFF00"/>
            </a:gs>
            <a:gs pos="100000">
              <a:srgbClr val="FF0000"/>
            </a:gs>
          </a:gsLst>
          <a:lin ang="189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095" r="0.70000000000000095" t="0.750000000000002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70C0"/>
                </a:solidFill>
                <a:latin typeface="Arial"/>
                <a:ea typeface="Arial"/>
                <a:cs typeface="Arial"/>
              </a:defRPr>
            </a:pPr>
            <a:r>
              <a:rPr lang="en-US" sz="1400" b="0">
                <a:solidFill>
                  <a:srgbClr val="0070C0"/>
                </a:solidFill>
                <a:latin typeface="Calibri" pitchFamily="34" charset="0"/>
              </a:rPr>
              <a:t>Supplier Preference</a:t>
            </a:r>
          </a:p>
        </c:rich>
      </c:tx>
      <c:layout>
        <c:manualLayout>
          <c:xMode val="edge"/>
          <c:yMode val="edge"/>
          <c:x val="0.348511999140039"/>
          <c:y val="1.6927589933611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409428859415393E-2"/>
          <c:y val="0.112651165083238"/>
          <c:w val="0.81162061016137299"/>
          <c:h val="0.79187739830393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Qualcomm Inc. (Develop)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B0C-634D-9234-C7085C005C0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'Supplier&gt; Qualcomm Inc.'!$B$100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'Supplier&gt; Qualcomm Inc.'!$C$100</c:f>
              <c:numCache>
                <c:formatCode>General</c:formatCode>
                <c:ptCount val="1"/>
                <c:pt idx="0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B0C-634D-9234-C7085C005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695048"/>
        <c:axId val="2135109544"/>
      </c:scatterChart>
      <c:valAx>
        <c:axId val="2133695048"/>
        <c:scaling>
          <c:orientation val="minMax"/>
          <c:max val="24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Calibri Light" pitchFamily="34" charset="0"/>
                    <a:ea typeface="Arial"/>
                    <a:cs typeface="Arial"/>
                  </a:defRPr>
                </a:pPr>
                <a:r>
                  <a:rPr lang="en-US" sz="1200" b="0">
                    <a:latin typeface="Calibri Light" pitchFamily="34" charset="0"/>
                    <a:sym typeface="Wingdings"/>
                  </a:rPr>
                  <a:t> </a:t>
                </a:r>
                <a:r>
                  <a:rPr lang="en-US" sz="1200" b="0">
                    <a:latin typeface="Calibri Light" pitchFamily="34" charset="0"/>
                  </a:rPr>
                  <a:t>Percentage of Supplier Business </a:t>
                </a:r>
                <a:r>
                  <a:rPr lang="en-US" sz="1200" b="0">
                    <a:latin typeface="Calibri Light" pitchFamily="34" charset="0"/>
                    <a:sym typeface="Wingdings"/>
                  </a:rPr>
                  <a:t></a:t>
                </a:r>
                <a:endParaRPr lang="en-US" sz="1200" b="0">
                  <a:latin typeface="Calibri Light" pitchFamily="34" charset="0"/>
                </a:endParaRPr>
              </a:p>
            </c:rich>
          </c:tx>
          <c:layout>
            <c:manualLayout>
              <c:xMode val="edge"/>
              <c:yMode val="edge"/>
              <c:x val="0.29540225560542099"/>
              <c:y val="0.912654736339776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5109544"/>
        <c:crosses val="autoZero"/>
        <c:crossBetween val="midCat"/>
        <c:majorUnit val="12"/>
        <c:minorUnit val="12"/>
      </c:valAx>
      <c:valAx>
        <c:axId val="2135109544"/>
        <c:scaling>
          <c:orientation val="minMax"/>
          <c:max val="24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/>
                    </a:solidFill>
                    <a:latin typeface="Calibri Light" pitchFamily="34" charset="0"/>
                    <a:ea typeface="Arial"/>
                    <a:cs typeface="Arial"/>
                  </a:defRPr>
                </a:pPr>
                <a:r>
                  <a:rPr lang="en-US" sz="1200" b="0" i="0" baseline="0">
                    <a:latin typeface="Calibri Light" pitchFamily="34" charset="0"/>
                    <a:sym typeface="Wingdings"/>
                  </a:rPr>
                  <a:t> </a:t>
                </a:r>
                <a:r>
                  <a:rPr lang="en-US" sz="1200" b="0" i="0" baseline="0">
                    <a:latin typeface="Calibri Light" pitchFamily="34" charset="0"/>
                  </a:rPr>
                  <a:t>Fit to Supplier Business </a:t>
                </a:r>
                <a:r>
                  <a:rPr lang="en-US" sz="1200" b="0" i="0" baseline="0">
                    <a:latin typeface="Calibri Light" pitchFamily="34" charset="0"/>
                    <a:sym typeface="Wingdings"/>
                  </a:rPr>
                  <a:t></a:t>
                </a:r>
                <a:endParaRPr lang="en-US" sz="1200" b="0">
                  <a:latin typeface="Calibri Light" pitchFamily="34" charset="0"/>
                </a:endParaRPr>
              </a:p>
            </c:rich>
          </c:tx>
          <c:layout>
            <c:manualLayout>
              <c:xMode val="edge"/>
              <c:yMode val="edge"/>
              <c:x val="4.8681124757016303E-2"/>
              <c:y val="0.244314642487870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3695048"/>
        <c:crosses val="autoZero"/>
        <c:crossBetween val="midCat"/>
        <c:majorUnit val="12"/>
        <c:minorUnit val="1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Supplier Heat Map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22084356150501"/>
          <c:y val="0.142756773723895"/>
          <c:w val="0.80984927139644403"/>
          <c:h val="0.7309117978236080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Intel Inc.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476-4846-99CF-535029E26EB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'Supplier&gt; Intel Inc.'!$B$101</c:f>
              <c:numCache>
                <c:formatCode>General</c:formatCode>
                <c:ptCount val="1"/>
                <c:pt idx="0">
                  <c:v>56.25</c:v>
                </c:pt>
              </c:numCache>
            </c:numRef>
          </c:xVal>
          <c:yVal>
            <c:numRef>
              <c:f>'Supplier&gt; Intel Inc.'!$C$101</c:f>
              <c:numCache>
                <c:formatCode>General</c:formatCode>
                <c:ptCount val="1"/>
                <c:pt idx="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476-4846-99CF-535029E2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468360"/>
        <c:axId val="2139688408"/>
      </c:scatterChart>
      <c:valAx>
        <c:axId val="2139468360"/>
        <c:scaling>
          <c:orientation val="minMax"/>
          <c:max val="100"/>
          <c:min val="0"/>
        </c:scaling>
        <c:delete val="0"/>
        <c:axPos val="b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Risk Probability</a:t>
                </a:r>
              </a:p>
            </c:rich>
          </c:tx>
          <c:layout>
            <c:manualLayout>
              <c:xMode val="edge"/>
              <c:yMode val="edge"/>
              <c:x val="0.413053545971728"/>
              <c:y val="0.93513420029588001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139688408"/>
        <c:crosses val="autoZero"/>
        <c:crossBetween val="midCat"/>
        <c:majorUnit val="10"/>
      </c:valAx>
      <c:valAx>
        <c:axId val="21396884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Supplier Impact</a:t>
                </a:r>
              </a:p>
            </c:rich>
          </c:tx>
          <c:layout>
            <c:manualLayout>
              <c:xMode val="edge"/>
              <c:yMode val="edge"/>
              <c:x val="1.11732283464567E-2"/>
              <c:y val="0.39888051227639099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139468360"/>
        <c:crosses val="autoZero"/>
        <c:crossBetween val="midCat"/>
        <c:majorUnit val="10"/>
      </c:valAx>
      <c:spPr>
        <a:gradFill>
          <a:gsLst>
            <a:gs pos="0">
              <a:srgbClr val="00B050"/>
            </a:gs>
            <a:gs pos="49000">
              <a:srgbClr val="FFFF00"/>
            </a:gs>
            <a:gs pos="100000">
              <a:srgbClr val="FF0000"/>
            </a:gs>
          </a:gsLst>
          <a:lin ang="189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095" r="0.70000000000000095" t="0.750000000000002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70C0"/>
                </a:solidFill>
                <a:latin typeface="Arial"/>
                <a:ea typeface="Arial"/>
                <a:cs typeface="Arial"/>
              </a:defRPr>
            </a:pPr>
            <a:r>
              <a:rPr lang="en-US" sz="1400" b="0">
                <a:solidFill>
                  <a:srgbClr val="0070C0"/>
                </a:solidFill>
                <a:latin typeface="Calibri" pitchFamily="34" charset="0"/>
              </a:rPr>
              <a:t>Supplier Preference</a:t>
            </a:r>
          </a:p>
        </c:rich>
      </c:tx>
      <c:layout>
        <c:manualLayout>
          <c:xMode val="edge"/>
          <c:yMode val="edge"/>
          <c:x val="0.348511999140039"/>
          <c:y val="1.6927589933611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409428859415393E-2"/>
          <c:y val="0.112651165083238"/>
          <c:w val="0.81162061016137299"/>
          <c:h val="0.79187739830393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Intel Inc. (Develop)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CC8-494A-AFF1-105A9C12FB3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'Supplier&gt; Intel Inc.'!$B$100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'Supplier&gt; Intel Inc.'!$C$100</c:f>
              <c:numCache>
                <c:formatCode>General</c:formatCode>
                <c:ptCount val="1"/>
                <c:pt idx="0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CC8-494A-AFF1-105A9C12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695048"/>
        <c:axId val="2135109544"/>
      </c:scatterChart>
      <c:valAx>
        <c:axId val="2133695048"/>
        <c:scaling>
          <c:orientation val="minMax"/>
          <c:max val="24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Calibri Light" pitchFamily="34" charset="0"/>
                    <a:ea typeface="Arial"/>
                    <a:cs typeface="Arial"/>
                  </a:defRPr>
                </a:pPr>
                <a:r>
                  <a:rPr lang="en-US" sz="1200" b="0">
                    <a:latin typeface="Calibri Light" pitchFamily="34" charset="0"/>
                    <a:sym typeface="Wingdings"/>
                  </a:rPr>
                  <a:t> </a:t>
                </a:r>
                <a:r>
                  <a:rPr lang="en-US" sz="1200" b="0">
                    <a:latin typeface="Calibri Light" pitchFamily="34" charset="0"/>
                  </a:rPr>
                  <a:t>Percentage of Supplier Business </a:t>
                </a:r>
                <a:r>
                  <a:rPr lang="en-US" sz="1200" b="0">
                    <a:latin typeface="Calibri Light" pitchFamily="34" charset="0"/>
                    <a:sym typeface="Wingdings"/>
                  </a:rPr>
                  <a:t></a:t>
                </a:r>
                <a:endParaRPr lang="en-US" sz="1200" b="0">
                  <a:latin typeface="Calibri Light" pitchFamily="34" charset="0"/>
                </a:endParaRPr>
              </a:p>
            </c:rich>
          </c:tx>
          <c:layout>
            <c:manualLayout>
              <c:xMode val="edge"/>
              <c:yMode val="edge"/>
              <c:x val="0.29540225560542099"/>
              <c:y val="0.912654736339776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5109544"/>
        <c:crosses val="autoZero"/>
        <c:crossBetween val="midCat"/>
        <c:majorUnit val="12"/>
        <c:minorUnit val="12"/>
      </c:valAx>
      <c:valAx>
        <c:axId val="2135109544"/>
        <c:scaling>
          <c:orientation val="minMax"/>
          <c:max val="24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/>
                    </a:solidFill>
                    <a:latin typeface="Calibri Light" pitchFamily="34" charset="0"/>
                    <a:ea typeface="Arial"/>
                    <a:cs typeface="Arial"/>
                  </a:defRPr>
                </a:pPr>
                <a:r>
                  <a:rPr lang="en-US" sz="1200" b="0" i="0" baseline="0">
                    <a:latin typeface="Calibri Light" pitchFamily="34" charset="0"/>
                    <a:sym typeface="Wingdings"/>
                  </a:rPr>
                  <a:t> </a:t>
                </a:r>
                <a:r>
                  <a:rPr lang="en-US" sz="1200" b="0" i="0" baseline="0">
                    <a:latin typeface="Calibri Light" pitchFamily="34" charset="0"/>
                  </a:rPr>
                  <a:t>Fit to Supplier Business </a:t>
                </a:r>
                <a:r>
                  <a:rPr lang="en-US" sz="1200" b="0" i="0" baseline="0">
                    <a:latin typeface="Calibri Light" pitchFamily="34" charset="0"/>
                    <a:sym typeface="Wingdings"/>
                  </a:rPr>
                  <a:t></a:t>
                </a:r>
                <a:endParaRPr lang="en-US" sz="1200" b="0">
                  <a:latin typeface="Calibri Light" pitchFamily="34" charset="0"/>
                </a:endParaRPr>
              </a:p>
            </c:rich>
          </c:tx>
          <c:layout>
            <c:manualLayout>
              <c:xMode val="edge"/>
              <c:yMode val="edge"/>
              <c:x val="4.8681124757016303E-2"/>
              <c:y val="0.244314642487870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3695048"/>
        <c:crosses val="autoZero"/>
        <c:crossBetween val="midCat"/>
        <c:majorUnit val="12"/>
        <c:minorUnit val="1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Supplier Heat Map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22084356150501"/>
          <c:y val="0.142756773723895"/>
          <c:w val="0.80984927139644403"/>
          <c:h val="0.7309117978236080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Huawei Inc.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705-F14B-B512-4F0106794F9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'Supplier&gt; Huawei Inc.'!$B$101</c:f>
              <c:numCache>
                <c:formatCode>General</c:formatCode>
                <c:ptCount val="1"/>
                <c:pt idx="0">
                  <c:v>62.5</c:v>
                </c:pt>
              </c:numCache>
            </c:numRef>
          </c:xVal>
          <c:yVal>
            <c:numRef>
              <c:f>'Supplier&gt; Huawei Inc.'!$C$101</c:f>
              <c:numCache>
                <c:formatCode>General</c:formatCode>
                <c:ptCount val="1"/>
                <c:pt idx="0">
                  <c:v>77.777777777777786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05-F14B-B512-4F0106794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468360"/>
        <c:axId val="2139688408"/>
      </c:scatterChart>
      <c:valAx>
        <c:axId val="2139468360"/>
        <c:scaling>
          <c:orientation val="minMax"/>
          <c:max val="100"/>
          <c:min val="0"/>
        </c:scaling>
        <c:delete val="0"/>
        <c:axPos val="b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Risk Probability</a:t>
                </a:r>
              </a:p>
            </c:rich>
          </c:tx>
          <c:layout>
            <c:manualLayout>
              <c:xMode val="edge"/>
              <c:yMode val="edge"/>
              <c:x val="0.413053545971728"/>
              <c:y val="0.93513420029588001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139688408"/>
        <c:crosses val="autoZero"/>
        <c:crossBetween val="midCat"/>
        <c:majorUnit val="10"/>
      </c:valAx>
      <c:valAx>
        <c:axId val="21396884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Supplier Impact</a:t>
                </a:r>
              </a:p>
            </c:rich>
          </c:tx>
          <c:layout>
            <c:manualLayout>
              <c:xMode val="edge"/>
              <c:yMode val="edge"/>
              <c:x val="1.11732283464567E-2"/>
              <c:y val="0.39888051227639099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139468360"/>
        <c:crosses val="autoZero"/>
        <c:crossBetween val="midCat"/>
        <c:majorUnit val="10"/>
      </c:valAx>
      <c:spPr>
        <a:gradFill>
          <a:gsLst>
            <a:gs pos="0">
              <a:srgbClr val="00B050"/>
            </a:gs>
            <a:gs pos="49000">
              <a:srgbClr val="FFFF00"/>
            </a:gs>
            <a:gs pos="100000">
              <a:srgbClr val="FF0000"/>
            </a:gs>
          </a:gsLst>
          <a:lin ang="189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095" r="0.70000000000000095" t="0.750000000000002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70C0"/>
                </a:solidFill>
                <a:latin typeface="Arial"/>
                <a:ea typeface="Arial"/>
                <a:cs typeface="Arial"/>
              </a:defRPr>
            </a:pPr>
            <a:r>
              <a:rPr lang="en-US" sz="1400" b="0">
                <a:solidFill>
                  <a:srgbClr val="0070C0"/>
                </a:solidFill>
                <a:latin typeface="Calibri" pitchFamily="34" charset="0"/>
              </a:rPr>
              <a:t>Supplier Preference</a:t>
            </a:r>
          </a:p>
        </c:rich>
      </c:tx>
      <c:layout>
        <c:manualLayout>
          <c:xMode val="edge"/>
          <c:yMode val="edge"/>
          <c:x val="0.348511999140039"/>
          <c:y val="1.6927589933611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409428859415393E-2"/>
          <c:y val="0.112651165083238"/>
          <c:w val="0.81162061016137299"/>
          <c:h val="0.79187739830393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Huawei Inc. (Develop)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9E49-6843-A3BD-2A9BD29EB5F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'Supplier&gt; Huawei Inc.'!$B$100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'Supplier&gt; Huawei Inc.'!$C$100</c:f>
              <c:numCache>
                <c:formatCode>General</c:formatCode>
                <c:ptCount val="1"/>
                <c:pt idx="0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E49-6843-A3BD-2A9BD29EB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695048"/>
        <c:axId val="2135109544"/>
      </c:scatterChart>
      <c:valAx>
        <c:axId val="2133695048"/>
        <c:scaling>
          <c:orientation val="minMax"/>
          <c:max val="24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Calibri Light" pitchFamily="34" charset="0"/>
                    <a:ea typeface="Arial"/>
                    <a:cs typeface="Arial"/>
                  </a:defRPr>
                </a:pPr>
                <a:r>
                  <a:rPr lang="en-US" sz="1200" b="0">
                    <a:latin typeface="Calibri Light" pitchFamily="34" charset="0"/>
                    <a:sym typeface="Wingdings"/>
                  </a:rPr>
                  <a:t> </a:t>
                </a:r>
                <a:r>
                  <a:rPr lang="en-US" sz="1200" b="0">
                    <a:latin typeface="Calibri Light" pitchFamily="34" charset="0"/>
                  </a:rPr>
                  <a:t>Percentage of Supplier Business </a:t>
                </a:r>
                <a:r>
                  <a:rPr lang="en-US" sz="1200" b="0">
                    <a:latin typeface="Calibri Light" pitchFamily="34" charset="0"/>
                    <a:sym typeface="Wingdings"/>
                  </a:rPr>
                  <a:t></a:t>
                </a:r>
                <a:endParaRPr lang="en-US" sz="1200" b="0">
                  <a:latin typeface="Calibri Light" pitchFamily="34" charset="0"/>
                </a:endParaRPr>
              </a:p>
            </c:rich>
          </c:tx>
          <c:layout>
            <c:manualLayout>
              <c:xMode val="edge"/>
              <c:yMode val="edge"/>
              <c:x val="0.29540225560542099"/>
              <c:y val="0.912654736339776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5109544"/>
        <c:crosses val="autoZero"/>
        <c:crossBetween val="midCat"/>
        <c:majorUnit val="12"/>
        <c:minorUnit val="12"/>
      </c:valAx>
      <c:valAx>
        <c:axId val="2135109544"/>
        <c:scaling>
          <c:orientation val="minMax"/>
          <c:max val="24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/>
                    </a:solidFill>
                    <a:latin typeface="Calibri Light" pitchFamily="34" charset="0"/>
                    <a:ea typeface="Arial"/>
                    <a:cs typeface="Arial"/>
                  </a:defRPr>
                </a:pPr>
                <a:r>
                  <a:rPr lang="en-US" sz="1200" b="0" i="0" baseline="0">
                    <a:latin typeface="Calibri Light" pitchFamily="34" charset="0"/>
                    <a:sym typeface="Wingdings"/>
                  </a:rPr>
                  <a:t> </a:t>
                </a:r>
                <a:r>
                  <a:rPr lang="en-US" sz="1200" b="0" i="0" baseline="0">
                    <a:latin typeface="Calibri Light" pitchFamily="34" charset="0"/>
                  </a:rPr>
                  <a:t>Fit to Supplier Business </a:t>
                </a:r>
                <a:r>
                  <a:rPr lang="en-US" sz="1200" b="0" i="0" baseline="0">
                    <a:latin typeface="Calibri Light" pitchFamily="34" charset="0"/>
                    <a:sym typeface="Wingdings"/>
                  </a:rPr>
                  <a:t></a:t>
                </a:r>
                <a:endParaRPr lang="en-US" sz="1200" b="0">
                  <a:latin typeface="Calibri Light" pitchFamily="34" charset="0"/>
                </a:endParaRPr>
              </a:p>
            </c:rich>
          </c:tx>
          <c:layout>
            <c:manualLayout>
              <c:xMode val="edge"/>
              <c:yMode val="edge"/>
              <c:x val="4.8681124757016303E-2"/>
              <c:y val="0.244314642487870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3695048"/>
        <c:crosses val="autoZero"/>
        <c:crossBetween val="midCat"/>
        <c:majorUnit val="12"/>
        <c:minorUnit val="1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Supplier Heat Map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22084356150501"/>
          <c:y val="0.142756773723895"/>
          <c:w val="0.80984927139644403"/>
          <c:h val="0.7309117978236080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ECE-C240-9472-E466A306C65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Supplier_Template!$B$100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Supplier_Template!$C$100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E-C240-9472-E466A306C653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Supplier_Template!$B$101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Supplier_Template!$C$101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E-C240-9472-E466A306C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468360"/>
        <c:axId val="2139688408"/>
      </c:scatterChart>
      <c:valAx>
        <c:axId val="2139468360"/>
        <c:scaling>
          <c:orientation val="minMax"/>
          <c:max val="100"/>
          <c:min val="0"/>
        </c:scaling>
        <c:delete val="0"/>
        <c:axPos val="b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Risk Probability</a:t>
                </a:r>
              </a:p>
            </c:rich>
          </c:tx>
          <c:layout>
            <c:manualLayout>
              <c:xMode val="edge"/>
              <c:yMode val="edge"/>
              <c:x val="0.413053545971728"/>
              <c:y val="0.93513420029588001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139688408"/>
        <c:crosses val="autoZero"/>
        <c:crossBetween val="midCat"/>
        <c:majorUnit val="10"/>
      </c:valAx>
      <c:valAx>
        <c:axId val="21396884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Supplier Impact</a:t>
                </a:r>
              </a:p>
            </c:rich>
          </c:tx>
          <c:layout>
            <c:manualLayout>
              <c:xMode val="edge"/>
              <c:yMode val="edge"/>
              <c:x val="1.11732283464567E-2"/>
              <c:y val="0.39888051227639099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139468360"/>
        <c:crosses val="autoZero"/>
        <c:crossBetween val="midCat"/>
        <c:majorUnit val="10"/>
      </c:valAx>
      <c:spPr>
        <a:gradFill>
          <a:gsLst>
            <a:gs pos="0">
              <a:srgbClr val="00B050"/>
            </a:gs>
            <a:gs pos="49000">
              <a:srgbClr val="FFFF00"/>
            </a:gs>
            <a:gs pos="100000">
              <a:srgbClr val="FF0000"/>
            </a:gs>
          </a:gsLst>
          <a:lin ang="189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095" r="0.70000000000000095" t="0.750000000000002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70C0"/>
                </a:solidFill>
                <a:latin typeface="Arial"/>
                <a:ea typeface="Arial"/>
                <a:cs typeface="Arial"/>
              </a:defRPr>
            </a:pPr>
            <a:r>
              <a:rPr lang="en-US" sz="1400" b="0">
                <a:solidFill>
                  <a:srgbClr val="0070C0"/>
                </a:solidFill>
                <a:latin typeface="Calibri" pitchFamily="34" charset="0"/>
              </a:rPr>
              <a:t>Supplier Preference</a:t>
            </a:r>
          </a:p>
        </c:rich>
      </c:tx>
      <c:layout>
        <c:manualLayout>
          <c:xMode val="edge"/>
          <c:yMode val="edge"/>
          <c:x val="0.348511999140039"/>
          <c:y val="1.6927589933611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409428859415393E-2"/>
          <c:y val="0.112651165083238"/>
          <c:w val="0.81162061016137299"/>
          <c:h val="0.79187739830393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4E5-094C-B6D1-500EF0843D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Supplier_Template!$B$100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Supplier_Template!$C$100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E5-094C-B6D1-500EF0843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695048"/>
        <c:axId val="2135109544"/>
      </c:scatterChart>
      <c:valAx>
        <c:axId val="2133695048"/>
        <c:scaling>
          <c:orientation val="minMax"/>
          <c:max val="24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Calibri Light" pitchFamily="34" charset="0"/>
                    <a:ea typeface="Arial"/>
                    <a:cs typeface="Arial"/>
                  </a:defRPr>
                </a:pPr>
                <a:r>
                  <a:rPr lang="en-US" sz="1200" b="0">
                    <a:latin typeface="Calibri Light" pitchFamily="34" charset="0"/>
                    <a:sym typeface="Wingdings"/>
                  </a:rPr>
                  <a:t> </a:t>
                </a:r>
                <a:r>
                  <a:rPr lang="en-US" sz="1200" b="0">
                    <a:latin typeface="Calibri Light" pitchFamily="34" charset="0"/>
                  </a:rPr>
                  <a:t>Percentage of Supplier Business </a:t>
                </a:r>
                <a:r>
                  <a:rPr lang="en-US" sz="1200" b="0">
                    <a:latin typeface="Calibri Light" pitchFamily="34" charset="0"/>
                    <a:sym typeface="Wingdings"/>
                  </a:rPr>
                  <a:t></a:t>
                </a:r>
                <a:endParaRPr lang="en-US" sz="1200" b="0">
                  <a:latin typeface="Calibri Light" pitchFamily="34" charset="0"/>
                </a:endParaRPr>
              </a:p>
            </c:rich>
          </c:tx>
          <c:layout>
            <c:manualLayout>
              <c:xMode val="edge"/>
              <c:yMode val="edge"/>
              <c:x val="0.29540225560542099"/>
              <c:y val="0.912654736339776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5109544"/>
        <c:crosses val="autoZero"/>
        <c:crossBetween val="midCat"/>
        <c:majorUnit val="12"/>
        <c:minorUnit val="12"/>
      </c:valAx>
      <c:valAx>
        <c:axId val="2135109544"/>
        <c:scaling>
          <c:orientation val="minMax"/>
          <c:max val="24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/>
                    </a:solidFill>
                    <a:latin typeface="Calibri Light" pitchFamily="34" charset="0"/>
                    <a:ea typeface="Arial"/>
                    <a:cs typeface="Arial"/>
                  </a:defRPr>
                </a:pPr>
                <a:r>
                  <a:rPr lang="en-US" sz="1200" b="0" i="0" baseline="0">
                    <a:latin typeface="Calibri Light" pitchFamily="34" charset="0"/>
                    <a:sym typeface="Wingdings"/>
                  </a:rPr>
                  <a:t> </a:t>
                </a:r>
                <a:r>
                  <a:rPr lang="en-US" sz="1200" b="0" i="0" baseline="0">
                    <a:latin typeface="Calibri Light" pitchFamily="34" charset="0"/>
                  </a:rPr>
                  <a:t>Fit to Supplier Business </a:t>
                </a:r>
                <a:r>
                  <a:rPr lang="en-US" sz="1200" b="0" i="0" baseline="0">
                    <a:latin typeface="Calibri Light" pitchFamily="34" charset="0"/>
                    <a:sym typeface="Wingdings"/>
                  </a:rPr>
                  <a:t></a:t>
                </a:r>
                <a:endParaRPr lang="en-US" sz="1200" b="0">
                  <a:latin typeface="Calibri Light" pitchFamily="34" charset="0"/>
                </a:endParaRPr>
              </a:p>
            </c:rich>
          </c:tx>
          <c:layout>
            <c:manualLayout>
              <c:xMode val="edge"/>
              <c:yMode val="edge"/>
              <c:x val="4.8681124757016303E-2"/>
              <c:y val="0.244314642487870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crossAx val="2133695048"/>
        <c:crosses val="autoZero"/>
        <c:crossBetween val="midCat"/>
        <c:majorUnit val="12"/>
        <c:minorUnit val="1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C4" fmlaRange="CS_Lookup!$A$14:$A$18" noThreeD="1" sel="5" val="0"/>
</file>

<file path=xl/ctrlProps/ctrlProp4.xml><?xml version="1.0" encoding="utf-8"?>
<formControlPr xmlns="http://schemas.microsoft.com/office/spreadsheetml/2009/9/main" objectType="Drop" dropStyle="combo" dx="16" fmlaLink="C5" fmlaRange="CS_Lookup!$B$14:$B$18" noThreeD="1" sel="5" val="0"/>
</file>

<file path=xl/ctrlProps/ctrlProp5.xml><?xml version="1.0" encoding="utf-8"?>
<formControlPr xmlns="http://schemas.microsoft.com/office/spreadsheetml/2009/9/main" objectType="Drop" dropStyle="combo" dx="16" fmlaLink="C6" fmlaRange="CS_Lookup!$C$14:$C$18" noThreeD="1" sel="4" val="0"/>
</file>

<file path=xl/ctrlProps/ctrlProp6.xml><?xml version="1.0" encoding="utf-8"?>
<formControlPr xmlns="http://schemas.microsoft.com/office/spreadsheetml/2009/9/main" objectType="Drop" dropStyle="combo" dx="16" fmlaLink="C8" fmlaRange="CS_Lookup!$D$14:$D$18" noThreeD="1" sel="5" val="0"/>
</file>

<file path=xl/ctrlProps/ctrlProp7.xml><?xml version="1.0" encoding="utf-8"?>
<formControlPr xmlns="http://schemas.microsoft.com/office/spreadsheetml/2009/9/main" objectType="Drop" dropStyle="combo" dx="16" fmlaLink="C9" fmlaRange="CS_Lookup!$E$14:$E$18" noThreeD="1" sel="5" val="0"/>
</file>

<file path=xl/ctrlProps/ctrlProp8.xml><?xml version="1.0" encoding="utf-8"?>
<formControlPr xmlns="http://schemas.microsoft.com/office/spreadsheetml/2009/9/main" objectType="Drop" dropStyle="combo" dx="16" fmlaLink="C10" fmlaRange="CS_Lookup!$F$14:$F$18" noThreeD="1" sel="4" val="0"/>
</file>

<file path=xl/ctrlProps/ctrlProp9.xml><?xml version="1.0" encoding="utf-8"?>
<formControlPr xmlns="http://schemas.microsoft.com/office/spreadsheetml/2009/9/main" objectType="Drop" dropStyle="combo" dx="16" fmlaLink="C11" fmlaRange="CS_Lookup!$G$14:$G$18" noThreeD="1" sel="5" val="0"/>
</file>

<file path=xl/ctrlProps/ctrlProp10.xml><?xml version="1.0" encoding="utf-8"?>
<formControlPr xmlns="http://schemas.microsoft.com/office/spreadsheetml/2009/9/main" objectType="Drop" dropStyle="combo" dx="16" fmlaLink="C12" fmlaRange="CS_Lookup!$H$14:$H$18" noThreeD="1" sel="5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Style="combo" dx="16" fmlaLink="C4" fmlaRange="CS_Lookup!$A$14:$A$18" noThreeD="1" sel="1" val="0"/>
</file>

<file path=xl/ctrlProps/ctrlProp14.xml><?xml version="1.0" encoding="utf-8"?>
<formControlPr xmlns="http://schemas.microsoft.com/office/spreadsheetml/2009/9/main" objectType="Drop" dropStyle="combo" dx="16" fmlaLink="C5" fmlaRange="CS_Lookup!$B$14:$B$18" noThreeD="1" sel="1" val="0"/>
</file>

<file path=xl/ctrlProps/ctrlProp15.xml><?xml version="1.0" encoding="utf-8"?>
<formControlPr xmlns="http://schemas.microsoft.com/office/spreadsheetml/2009/9/main" objectType="Drop" dropStyle="combo" dx="16" fmlaLink="C6" fmlaRange="CS_Lookup!$C$14:$C$18" noThreeD="1" sel="1" val="0"/>
</file>

<file path=xl/ctrlProps/ctrlProp16.xml><?xml version="1.0" encoding="utf-8"?>
<formControlPr xmlns="http://schemas.microsoft.com/office/spreadsheetml/2009/9/main" objectType="Drop" dropStyle="combo" dx="16" fmlaLink="C8" fmlaRange="CS_Lookup!$D$14:$D$18" noThreeD="1" sel="1" val="0"/>
</file>

<file path=xl/ctrlProps/ctrlProp17.xml><?xml version="1.0" encoding="utf-8"?>
<formControlPr xmlns="http://schemas.microsoft.com/office/spreadsheetml/2009/9/main" objectType="Drop" dropStyle="combo" dx="16" fmlaLink="C9" fmlaRange="CS_Lookup!$E$14:$E$18" noThreeD="1" sel="1" val="0"/>
</file>

<file path=xl/ctrlProps/ctrlProp18.xml><?xml version="1.0" encoding="utf-8"?>
<formControlPr xmlns="http://schemas.microsoft.com/office/spreadsheetml/2009/9/main" objectType="Drop" dropStyle="combo" dx="16" fmlaLink="C10" fmlaRange="CS_Lookup!$F$14:$F$18" noThreeD="1" sel="1" val="0"/>
</file>

<file path=xl/ctrlProps/ctrlProp19.xml><?xml version="1.0" encoding="utf-8"?>
<formControlPr xmlns="http://schemas.microsoft.com/office/spreadsheetml/2009/9/main" objectType="Drop" dropStyle="combo" dx="16" fmlaLink="C11" fmlaRange="CS_Lookup!$G$14:$G$18" noThreeD="1" sel="1" val="0"/>
</file>

<file path=xl/ctrlProps/ctrlProp20.xml><?xml version="1.0" encoding="utf-8"?>
<formControlPr xmlns="http://schemas.microsoft.com/office/spreadsheetml/2009/9/main" objectType="Drop" dropStyle="combo" dx="16" fmlaLink="C12" fmlaRange="CS_Lookup!$H$14:$H$18" noThreeD="1" sel="1" val="0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Drop" dropStyle="combo" dx="16" fmlaLink="C8" fmlaRange="SP_Lookup!$A$15:$A$19" noThreeD="1" sel="4" val="0"/>
</file>

<file path=xl/ctrlProps/ctrlProp24.xml><?xml version="1.0" encoding="utf-8"?>
<formControlPr xmlns="http://schemas.microsoft.com/office/spreadsheetml/2009/9/main" objectType="Drop" dropStyle="combo" dx="16" fmlaLink="C9" fmlaRange="SP_Lookup!$B$15:$B$19" noThreeD="1" sel="5" val="0"/>
</file>

<file path=xl/ctrlProps/ctrlProp25.xml><?xml version="1.0" encoding="utf-8"?>
<formControlPr xmlns="http://schemas.microsoft.com/office/spreadsheetml/2009/9/main" objectType="Drop" dropStyle="combo" dx="16" fmlaLink="C10" fmlaRange="SP_Lookup!$C$15:$C$19" noThreeD="1" sel="3" val="0"/>
</file>

<file path=xl/ctrlProps/ctrlProp26.xml><?xml version="1.0" encoding="utf-8"?>
<formControlPr xmlns="http://schemas.microsoft.com/office/spreadsheetml/2009/9/main" objectType="Drop" dropStyle="combo" dx="16" fmlaLink="C4" fmlaRange="SP_Lookup!$D$15:$D$19" noThreeD="1" sel="2" val="0"/>
</file>

<file path=xl/ctrlProps/ctrlProp27.xml><?xml version="1.0" encoding="utf-8"?>
<formControlPr xmlns="http://schemas.microsoft.com/office/spreadsheetml/2009/9/main" objectType="Drop" dropStyle="combo" dx="16" fmlaLink="C5" fmlaRange="SP_Lookup!$E$15:$E$19" noThreeD="1" sel="2" val="0"/>
</file>

<file path=xl/ctrlProps/ctrlProp28.xml><?xml version="1.0" encoding="utf-8"?>
<formControlPr xmlns="http://schemas.microsoft.com/office/spreadsheetml/2009/9/main" objectType="Drop" dropStyle="combo" dx="16" fmlaLink="C6" fmlaRange="SP_Lookup!$F$15:$F$19" noThreeD="1" sel="2" val="0"/>
</file>

<file path=xl/ctrlProps/ctrlProp29.xml><?xml version="1.0" encoding="utf-8"?>
<formControlPr xmlns="http://schemas.microsoft.com/office/spreadsheetml/2009/9/main" objectType="Drop" dropStyle="combo" dx="16" fmlaLink="C18" fmlaRange="RM_Lookup!$A$18:$A$22" noThreeD="1" sel="2" val="0"/>
</file>

<file path=xl/ctrlProps/ctrlProp30.xml><?xml version="1.0" encoding="utf-8"?>
<formControlPr xmlns="http://schemas.microsoft.com/office/spreadsheetml/2009/9/main" objectType="Drop" dropStyle="combo" dx="16" fmlaLink="C19" fmlaRange="RM_Lookup!$B$18:$B$22" noThreeD="1" sel="2" val="0"/>
</file>

<file path=xl/ctrlProps/ctrlProp31.xml><?xml version="1.0" encoding="utf-8"?>
<formControlPr xmlns="http://schemas.microsoft.com/office/spreadsheetml/2009/9/main" objectType="Drop" dropStyle="combo" dx="16" fmlaLink="C20" fmlaRange="RM_Lookup!$C$18:$C$22" noThreeD="1" sel="2" val="0"/>
</file>

<file path=xl/ctrlProps/ctrlProp32.xml><?xml version="1.0" encoding="utf-8"?>
<formControlPr xmlns="http://schemas.microsoft.com/office/spreadsheetml/2009/9/main" objectType="Drop" dropStyle="combo" dx="16" fmlaLink="C21" fmlaRange="RM_Lookup!$D$18:$D$22" noThreeD="1" sel="3" val="0"/>
</file>

<file path=xl/ctrlProps/ctrlProp33.xml><?xml version="1.0" encoding="utf-8"?>
<formControlPr xmlns="http://schemas.microsoft.com/office/spreadsheetml/2009/9/main" objectType="Drop" dropStyle="combo" dx="16" fmlaLink="C22" fmlaRange="RM_Lookup!$E$18:$E$22" noThreeD="1" sel="2" val="0"/>
</file>

<file path=xl/ctrlProps/ctrlProp34.xml><?xml version="1.0" encoding="utf-8"?>
<formControlPr xmlns="http://schemas.microsoft.com/office/spreadsheetml/2009/9/main" objectType="Drop" dropStyle="combo" dx="16" fmlaLink="C23" fmlaRange="RM_Lookup!$F$18:$F$22" noThreeD="1" sel="3" val="0"/>
</file>

<file path=xl/ctrlProps/ctrlProp35.xml><?xml version="1.0" encoding="utf-8"?>
<formControlPr xmlns="http://schemas.microsoft.com/office/spreadsheetml/2009/9/main" objectType="Drop" dropStyle="combo" dx="16" fmlaLink="C24" fmlaRange="RM_Lookup!$G$18:$G$22" noThreeD="1" sel="4" val="0"/>
</file>

<file path=xl/ctrlProps/ctrlProp36.xml><?xml version="1.0" encoding="utf-8"?>
<formControlPr xmlns="http://schemas.microsoft.com/office/spreadsheetml/2009/9/main" objectType="Drop" dropStyle="combo" dx="16" fmlaLink="C32" fmlaRange="RM_Lookup!$I$18:$I$22" noThreeD="1" sel="2" val="0"/>
</file>

<file path=xl/ctrlProps/ctrlProp37.xml><?xml version="1.0" encoding="utf-8"?>
<formControlPr xmlns="http://schemas.microsoft.com/office/spreadsheetml/2009/9/main" objectType="Drop" dropStyle="combo" dx="16" fmlaLink="C33" fmlaRange="RM_Lookup!$J$18:$J$22" noThreeD="1" sel="2" val="0"/>
</file>

<file path=xl/ctrlProps/ctrlProp38.xml><?xml version="1.0" encoding="utf-8"?>
<formControlPr xmlns="http://schemas.microsoft.com/office/spreadsheetml/2009/9/main" objectType="Drop" dropStyle="combo" dx="16" fmlaLink="C8" fmlaRange="SP_Lookup!$A$15:$A$19" noThreeD="1" sel="3" val="0"/>
</file>

<file path=xl/ctrlProps/ctrlProp39.xml><?xml version="1.0" encoding="utf-8"?>
<formControlPr xmlns="http://schemas.microsoft.com/office/spreadsheetml/2009/9/main" objectType="Drop" dropStyle="combo" dx="16" fmlaLink="C9" fmlaRange="SP_Lookup!$B$15:$B$19" noThreeD="1" sel="5" val="0"/>
</file>

<file path=xl/ctrlProps/ctrlProp40.xml><?xml version="1.0" encoding="utf-8"?>
<formControlPr xmlns="http://schemas.microsoft.com/office/spreadsheetml/2009/9/main" objectType="Drop" dropStyle="combo" dx="16" fmlaLink="C10" fmlaRange="SP_Lookup!$C$15:$C$19" noThreeD="1" sel="3" val="0"/>
</file>

<file path=xl/ctrlProps/ctrlProp41.xml><?xml version="1.0" encoding="utf-8"?>
<formControlPr xmlns="http://schemas.microsoft.com/office/spreadsheetml/2009/9/main" objectType="Drop" dropStyle="combo" dx="16" fmlaLink="C4" fmlaRange="SP_Lookup!$D$15:$D$19" noThreeD="1" sel="2" val="0"/>
</file>

<file path=xl/ctrlProps/ctrlProp42.xml><?xml version="1.0" encoding="utf-8"?>
<formControlPr xmlns="http://schemas.microsoft.com/office/spreadsheetml/2009/9/main" objectType="Drop" dropStyle="combo" dx="16" fmlaLink="C5" fmlaRange="SP_Lookup!$E$15:$E$19" noThreeD="1" sel="2" val="0"/>
</file>

<file path=xl/ctrlProps/ctrlProp43.xml><?xml version="1.0" encoding="utf-8"?>
<formControlPr xmlns="http://schemas.microsoft.com/office/spreadsheetml/2009/9/main" objectType="Drop" dropStyle="combo" dx="16" fmlaLink="C6" fmlaRange="SP_Lookup!$F$15:$F$19" noThreeD="1" sel="2" val="0"/>
</file>

<file path=xl/ctrlProps/ctrlProp44.xml><?xml version="1.0" encoding="utf-8"?>
<formControlPr xmlns="http://schemas.microsoft.com/office/spreadsheetml/2009/9/main" objectType="Drop" dropStyle="combo" dx="16" fmlaLink="C18" fmlaRange="RM_Lookup!$A$18:$A$22" noThreeD="1" sel="2" val="0"/>
</file>

<file path=xl/ctrlProps/ctrlProp45.xml><?xml version="1.0" encoding="utf-8"?>
<formControlPr xmlns="http://schemas.microsoft.com/office/spreadsheetml/2009/9/main" objectType="Drop" dropStyle="combo" dx="16" fmlaLink="C19" fmlaRange="RM_Lookup!$B$18:$B$22" noThreeD="1" sel="3" val="0"/>
</file>

<file path=xl/ctrlProps/ctrlProp46.xml><?xml version="1.0" encoding="utf-8"?>
<formControlPr xmlns="http://schemas.microsoft.com/office/spreadsheetml/2009/9/main" objectType="Drop" dropStyle="combo" dx="16" fmlaLink="C20" fmlaRange="RM_Lookup!$C$18:$C$22" noThreeD="1" sel="3" val="0"/>
</file>

<file path=xl/ctrlProps/ctrlProp47.xml><?xml version="1.0" encoding="utf-8"?>
<formControlPr xmlns="http://schemas.microsoft.com/office/spreadsheetml/2009/9/main" objectType="Drop" dropStyle="combo" dx="16" fmlaLink="C21" fmlaRange="RM_Lookup!$D$18:$D$22" noThreeD="1" sel="5" val="0"/>
</file>

<file path=xl/ctrlProps/ctrlProp48.xml><?xml version="1.0" encoding="utf-8"?>
<formControlPr xmlns="http://schemas.microsoft.com/office/spreadsheetml/2009/9/main" objectType="Drop" dropStyle="combo" dx="16" fmlaLink="C22" fmlaRange="RM_Lookup!$E$18:$E$22" noThreeD="1" sel="3" val="0"/>
</file>

<file path=xl/ctrlProps/ctrlProp49.xml><?xml version="1.0" encoding="utf-8"?>
<formControlPr xmlns="http://schemas.microsoft.com/office/spreadsheetml/2009/9/main" objectType="Drop" dropStyle="combo" dx="16" fmlaLink="C23" fmlaRange="RM_Lookup!$F$18:$F$22" noThreeD="1" sel="2" val="0"/>
</file>

<file path=xl/ctrlProps/ctrlProp50.xml><?xml version="1.0" encoding="utf-8"?>
<formControlPr xmlns="http://schemas.microsoft.com/office/spreadsheetml/2009/9/main" objectType="Drop" dropStyle="combo" dx="16" fmlaLink="C24" fmlaRange="RM_Lookup!$G$18:$G$22" noThreeD="1" sel="5" val="0"/>
</file>

<file path=xl/ctrlProps/ctrlProp51.xml><?xml version="1.0" encoding="utf-8"?>
<formControlPr xmlns="http://schemas.microsoft.com/office/spreadsheetml/2009/9/main" objectType="Drop" dropStyle="combo" dx="16" fmlaLink="C32" fmlaRange="RM_Lookup!$I$18:$I$22" noThreeD="1" sel="2" val="0"/>
</file>

<file path=xl/ctrlProps/ctrlProp52.xml><?xml version="1.0" encoding="utf-8"?>
<formControlPr xmlns="http://schemas.microsoft.com/office/spreadsheetml/2009/9/main" objectType="Drop" dropStyle="combo" dx="16" fmlaLink="C33" fmlaRange="RM_Lookup!$J$18:$J$22" noThreeD="1" sel="2" val="0"/>
</file>

<file path=xl/ctrlProps/ctrlProp53.xml><?xml version="1.0" encoding="utf-8"?>
<formControlPr xmlns="http://schemas.microsoft.com/office/spreadsheetml/2009/9/main" objectType="Drop" dropStyle="combo" dx="16" fmlaLink="C8" fmlaRange="SP_Lookup!$A$15:$A$19" noThreeD="1" sel="5" val="0"/>
</file>

<file path=xl/ctrlProps/ctrlProp54.xml><?xml version="1.0" encoding="utf-8"?>
<formControlPr xmlns="http://schemas.microsoft.com/office/spreadsheetml/2009/9/main" objectType="Drop" dropStyle="combo" dx="16" fmlaLink="C9" fmlaRange="SP_Lookup!$B$15:$B$19" noThreeD="1" sel="5" val="0"/>
</file>

<file path=xl/ctrlProps/ctrlProp55.xml><?xml version="1.0" encoding="utf-8"?>
<formControlPr xmlns="http://schemas.microsoft.com/office/spreadsheetml/2009/9/main" objectType="Drop" dropStyle="combo" dx="16" fmlaLink="C10" fmlaRange="SP_Lookup!$C$15:$C$19" noThreeD="1" sel="4" val="0"/>
</file>

<file path=xl/ctrlProps/ctrlProp56.xml><?xml version="1.0" encoding="utf-8"?>
<formControlPr xmlns="http://schemas.microsoft.com/office/spreadsheetml/2009/9/main" objectType="Drop" dropStyle="combo" dx="16" fmlaLink="C4" fmlaRange="SP_Lookup!$D$15:$D$19" noThreeD="1" sel="3" val="0"/>
</file>

<file path=xl/ctrlProps/ctrlProp57.xml><?xml version="1.0" encoding="utf-8"?>
<formControlPr xmlns="http://schemas.microsoft.com/office/spreadsheetml/2009/9/main" objectType="Drop" dropStyle="combo" dx="16" fmlaLink="C5" fmlaRange="SP_Lookup!$E$15:$E$19" noThreeD="1" sel="3" val="0"/>
</file>

<file path=xl/ctrlProps/ctrlProp58.xml><?xml version="1.0" encoding="utf-8"?>
<formControlPr xmlns="http://schemas.microsoft.com/office/spreadsheetml/2009/9/main" objectType="Drop" dropStyle="combo" dx="16" fmlaLink="C6" fmlaRange="SP_Lookup!$F$15:$F$19" noThreeD="1" sel="2" val="0"/>
</file>

<file path=xl/ctrlProps/ctrlProp59.xml><?xml version="1.0" encoding="utf-8"?>
<formControlPr xmlns="http://schemas.microsoft.com/office/spreadsheetml/2009/9/main" objectType="Drop" dropStyle="combo" dx="16" fmlaLink="C18" fmlaRange="RM_Lookup!$A$18:$A$22" noThreeD="1" sel="4" val="0"/>
</file>

<file path=xl/ctrlProps/ctrlProp60.xml><?xml version="1.0" encoding="utf-8"?>
<formControlPr xmlns="http://schemas.microsoft.com/office/spreadsheetml/2009/9/main" objectType="Drop" dropStyle="combo" dx="16" fmlaLink="C19" fmlaRange="RM_Lookup!$B$18:$B$22" noThreeD="1" sel="4" val="0"/>
</file>

<file path=xl/ctrlProps/ctrlProp61.xml><?xml version="1.0" encoding="utf-8"?>
<formControlPr xmlns="http://schemas.microsoft.com/office/spreadsheetml/2009/9/main" objectType="Drop" dropStyle="combo" dx="16" fmlaLink="C20" fmlaRange="RM_Lookup!$C$18:$C$22" noThreeD="1" sel="4" val="0"/>
</file>

<file path=xl/ctrlProps/ctrlProp62.xml><?xml version="1.0" encoding="utf-8"?>
<formControlPr xmlns="http://schemas.microsoft.com/office/spreadsheetml/2009/9/main" objectType="Drop" dropStyle="combo" dx="16" fmlaLink="C21" fmlaRange="RM_Lookup!$D$18:$D$22" noThreeD="1" sel="5" val="0"/>
</file>

<file path=xl/ctrlProps/ctrlProp63.xml><?xml version="1.0" encoding="utf-8"?>
<formControlPr xmlns="http://schemas.microsoft.com/office/spreadsheetml/2009/9/main" objectType="Drop" dropStyle="combo" dx="16" fmlaLink="C22" fmlaRange="RM_Lookup!$E$18:$E$22" noThreeD="1" sel="3" val="0"/>
</file>

<file path=xl/ctrlProps/ctrlProp64.xml><?xml version="1.0" encoding="utf-8"?>
<formControlPr xmlns="http://schemas.microsoft.com/office/spreadsheetml/2009/9/main" objectType="Drop" dropStyle="combo" dx="16" fmlaLink="C23" fmlaRange="RM_Lookup!$F$18:$F$22" noThreeD="1" sel="4" val="0"/>
</file>

<file path=xl/ctrlProps/ctrlProp65.xml><?xml version="1.0" encoding="utf-8"?>
<formControlPr xmlns="http://schemas.microsoft.com/office/spreadsheetml/2009/9/main" objectType="Drop" dropStyle="combo" dx="16" fmlaLink="C24" fmlaRange="RM_Lookup!$G$18:$G$22" noThreeD="1" sel="3" val="0"/>
</file>

<file path=xl/ctrlProps/ctrlProp66.xml><?xml version="1.0" encoding="utf-8"?>
<formControlPr xmlns="http://schemas.microsoft.com/office/spreadsheetml/2009/9/main" objectType="Drop" dropStyle="combo" dx="16" fmlaLink="C32" fmlaRange="RM_Lookup!$I$18:$I$22" noThreeD="1" sel="2" val="0"/>
</file>

<file path=xl/ctrlProps/ctrlProp67.xml><?xml version="1.0" encoding="utf-8"?>
<formControlPr xmlns="http://schemas.microsoft.com/office/spreadsheetml/2009/9/main" objectType="Drop" dropStyle="combo" dx="16" fmlaLink="C33" fmlaRange="RM_Lookup!$J$18:$J$22" noThreeD="1" sel="2" val="0"/>
</file>

<file path=xl/ctrlProps/ctrlProp68.xml><?xml version="1.0" encoding="utf-8"?>
<formControlPr xmlns="http://schemas.microsoft.com/office/spreadsheetml/2009/9/main" objectType="Drop" dropStyle="combo" dx="16" fmlaLink="C8" fmlaRange="SP_Lookup!$A$15:$A$19" noThreeD="1" sel="5" val="0"/>
</file>

<file path=xl/ctrlProps/ctrlProp69.xml><?xml version="1.0" encoding="utf-8"?>
<formControlPr xmlns="http://schemas.microsoft.com/office/spreadsheetml/2009/9/main" objectType="Drop" dropStyle="combo" dx="16" fmlaLink="C9" fmlaRange="SP_Lookup!$B$15:$B$19" noThreeD="1" sel="5" val="0"/>
</file>

<file path=xl/ctrlProps/ctrlProp70.xml><?xml version="1.0" encoding="utf-8"?>
<formControlPr xmlns="http://schemas.microsoft.com/office/spreadsheetml/2009/9/main" objectType="Drop" dropStyle="combo" dx="16" fmlaLink="C10" fmlaRange="SP_Lookup!$C$15:$C$19" noThreeD="1" sel="5" val="0"/>
</file>

<file path=xl/ctrlProps/ctrlProp71.xml><?xml version="1.0" encoding="utf-8"?>
<formControlPr xmlns="http://schemas.microsoft.com/office/spreadsheetml/2009/9/main" objectType="Drop" dropStyle="combo" dx="16" fmlaLink="C4" fmlaRange="SP_Lookup!$D$15:$D$19" noThreeD="1" sel="3" val="0"/>
</file>

<file path=xl/ctrlProps/ctrlProp72.xml><?xml version="1.0" encoding="utf-8"?>
<formControlPr xmlns="http://schemas.microsoft.com/office/spreadsheetml/2009/9/main" objectType="Drop" dropStyle="combo" dx="16" fmlaLink="C5" fmlaRange="SP_Lookup!$E$15:$E$19" noThreeD="1" sel="3" val="0"/>
</file>

<file path=xl/ctrlProps/ctrlProp73.xml><?xml version="1.0" encoding="utf-8"?>
<formControlPr xmlns="http://schemas.microsoft.com/office/spreadsheetml/2009/9/main" objectType="Drop" dropStyle="combo" dx="16" fmlaLink="C6" fmlaRange="SP_Lookup!$F$15:$F$19" noThreeD="1" sel="2" val="0"/>
</file>

<file path=xl/ctrlProps/ctrlProp74.xml><?xml version="1.0" encoding="utf-8"?>
<formControlPr xmlns="http://schemas.microsoft.com/office/spreadsheetml/2009/9/main" objectType="Drop" dropStyle="combo" dx="16" fmlaLink="C18" fmlaRange="RM_Lookup!$A$18:$A$22" noThreeD="1" sel="5" val="0"/>
</file>

<file path=xl/ctrlProps/ctrlProp75.xml><?xml version="1.0" encoding="utf-8"?>
<formControlPr xmlns="http://schemas.microsoft.com/office/spreadsheetml/2009/9/main" objectType="Drop" dropStyle="combo" dx="16" fmlaLink="C19" fmlaRange="RM_Lookup!$B$18:$B$22" noThreeD="1" sel="4" val="0"/>
</file>

<file path=xl/ctrlProps/ctrlProp76.xml><?xml version="1.0" encoding="utf-8"?>
<formControlPr xmlns="http://schemas.microsoft.com/office/spreadsheetml/2009/9/main" objectType="Drop" dropStyle="combo" dx="16" fmlaLink="C20" fmlaRange="RM_Lookup!$C$18:$C$22" noThreeD="1" sel="4" val="0"/>
</file>

<file path=xl/ctrlProps/ctrlProp77.xml><?xml version="1.0" encoding="utf-8"?>
<formControlPr xmlns="http://schemas.microsoft.com/office/spreadsheetml/2009/9/main" objectType="Drop" dropStyle="combo" dx="16" fmlaLink="C21" fmlaRange="RM_Lookup!$D$18:$D$22" noThreeD="1" sel="5" val="0"/>
</file>

<file path=xl/ctrlProps/ctrlProp78.xml><?xml version="1.0" encoding="utf-8"?>
<formControlPr xmlns="http://schemas.microsoft.com/office/spreadsheetml/2009/9/main" objectType="Drop" dropStyle="combo" dx="16" fmlaLink="C22" fmlaRange="RM_Lookup!$E$18:$E$22" noThreeD="1" sel="5" val="0"/>
</file>

<file path=xl/ctrlProps/ctrlProp79.xml><?xml version="1.0" encoding="utf-8"?>
<formControlPr xmlns="http://schemas.microsoft.com/office/spreadsheetml/2009/9/main" objectType="Drop" dropStyle="combo" dx="16" fmlaLink="C23" fmlaRange="RM_Lookup!$F$18:$F$22" noThreeD="1" sel="4" val="0"/>
</file>

<file path=xl/ctrlProps/ctrlProp80.xml><?xml version="1.0" encoding="utf-8"?>
<formControlPr xmlns="http://schemas.microsoft.com/office/spreadsheetml/2009/9/main" objectType="Drop" dropStyle="combo" dx="16" fmlaLink="C24" fmlaRange="RM_Lookup!$G$18:$G$22" noThreeD="1" sel="3" val="0"/>
</file>

<file path=xl/ctrlProps/ctrlProp81.xml><?xml version="1.0" encoding="utf-8"?>
<formControlPr xmlns="http://schemas.microsoft.com/office/spreadsheetml/2009/9/main" objectType="Drop" dropStyle="combo" dx="16" fmlaLink="C32" fmlaRange="RM_Lookup!$I$18:$I$22" noThreeD="1" sel="2" val="0"/>
</file>

<file path=xl/ctrlProps/ctrlProp82.xml><?xml version="1.0" encoding="utf-8"?>
<formControlPr xmlns="http://schemas.microsoft.com/office/spreadsheetml/2009/9/main" objectType="Drop" dropStyle="combo" dx="16" fmlaLink="C33" fmlaRange="RM_Lookup!$J$18:$J$22" noThreeD="1" sel="2" val="0"/>
</file>

<file path=xl/ctrlProps/ctrlProp83.xml><?xml version="1.0" encoding="utf-8"?>
<formControlPr xmlns="http://schemas.microsoft.com/office/spreadsheetml/2009/9/main" objectType="Drop" dropStyle="combo" dx="16" fmlaLink="C8" fmlaRange="SP_Lookup!$A$15:$A$19" noThreeD="1" sel="1" val="0"/>
</file>

<file path=xl/ctrlProps/ctrlProp84.xml><?xml version="1.0" encoding="utf-8"?>
<formControlPr xmlns="http://schemas.microsoft.com/office/spreadsheetml/2009/9/main" objectType="Drop" dropStyle="combo" dx="16" fmlaLink="C9" fmlaRange="SP_Lookup!$B$15:$B$19" noThreeD="1" sel="1" val="0"/>
</file>

<file path=xl/ctrlProps/ctrlProp85.xml><?xml version="1.0" encoding="utf-8"?>
<formControlPr xmlns="http://schemas.microsoft.com/office/spreadsheetml/2009/9/main" objectType="Drop" dropStyle="combo" dx="16" fmlaLink="C10" fmlaRange="SP_Lookup!$C$15:$C$19" noThreeD="1" sel="1" val="0"/>
</file>

<file path=xl/ctrlProps/ctrlProp86.xml><?xml version="1.0" encoding="utf-8"?>
<formControlPr xmlns="http://schemas.microsoft.com/office/spreadsheetml/2009/9/main" objectType="Drop" dropStyle="combo" dx="16" fmlaLink="C4" fmlaRange="SP_Lookup!$D$15:$D$19" noThreeD="1" sel="1" val="0"/>
</file>

<file path=xl/ctrlProps/ctrlProp87.xml><?xml version="1.0" encoding="utf-8"?>
<formControlPr xmlns="http://schemas.microsoft.com/office/spreadsheetml/2009/9/main" objectType="Drop" dropStyle="combo" dx="16" fmlaLink="C5" fmlaRange="SP_Lookup!$E$15:$E$19" noThreeD="1" sel="1" val="0"/>
</file>

<file path=xl/ctrlProps/ctrlProp88.xml><?xml version="1.0" encoding="utf-8"?>
<formControlPr xmlns="http://schemas.microsoft.com/office/spreadsheetml/2009/9/main" objectType="Drop" dropStyle="combo" dx="16" fmlaLink="C6" fmlaRange="SP_Lookup!$F$15:$F$19" noThreeD="1" sel="1" val="0"/>
</file>

<file path=xl/ctrlProps/ctrlProp89.xml><?xml version="1.0" encoding="utf-8"?>
<formControlPr xmlns="http://schemas.microsoft.com/office/spreadsheetml/2009/9/main" objectType="Drop" dropStyle="combo" dx="16" fmlaLink="C18" fmlaRange="RM_Lookup!$A$18:$A$22" noThreeD="1" sel="1" val="0"/>
</file>

<file path=xl/ctrlProps/ctrlProp90.xml><?xml version="1.0" encoding="utf-8"?>
<formControlPr xmlns="http://schemas.microsoft.com/office/spreadsheetml/2009/9/main" objectType="Drop" dropStyle="combo" dx="16" fmlaLink="C19" fmlaRange="RM_Lookup!$B$18:$B$22" noThreeD="1" sel="1" val="0"/>
</file>

<file path=xl/ctrlProps/ctrlProp91.xml><?xml version="1.0" encoding="utf-8"?>
<formControlPr xmlns="http://schemas.microsoft.com/office/spreadsheetml/2009/9/main" objectType="Drop" dropStyle="combo" dx="16" fmlaLink="C20" fmlaRange="RM_Lookup!$C$18:$C$22" noThreeD="1" sel="1" val="0"/>
</file>

<file path=xl/ctrlProps/ctrlProp92.xml><?xml version="1.0" encoding="utf-8"?>
<formControlPr xmlns="http://schemas.microsoft.com/office/spreadsheetml/2009/9/main" objectType="Drop" dropStyle="combo" dx="16" fmlaLink="C21" fmlaRange="RM_Lookup!$D$18:$D$22" noThreeD="1" sel="1" val="0"/>
</file>

<file path=xl/ctrlProps/ctrlProp93.xml><?xml version="1.0" encoding="utf-8"?>
<formControlPr xmlns="http://schemas.microsoft.com/office/spreadsheetml/2009/9/main" objectType="Drop" dropStyle="combo" dx="16" fmlaLink="C22" fmlaRange="RM_Lookup!$E$18:$E$22" noThreeD="1" sel="1" val="0"/>
</file>

<file path=xl/ctrlProps/ctrlProp94.xml><?xml version="1.0" encoding="utf-8"?>
<formControlPr xmlns="http://schemas.microsoft.com/office/spreadsheetml/2009/9/main" objectType="Drop" dropStyle="combo" dx="16" fmlaLink="C23" fmlaRange="RM_Lookup!$F$18:$F$22" noThreeD="1" sel="1" val="0"/>
</file>

<file path=xl/ctrlProps/ctrlProp95.xml><?xml version="1.0" encoding="utf-8"?>
<formControlPr xmlns="http://schemas.microsoft.com/office/spreadsheetml/2009/9/main" objectType="Drop" dropStyle="combo" dx="16" fmlaLink="C24" fmlaRange="RM_Lookup!$G$18:$G$22" noThreeD="1" sel="1" val="0"/>
</file>

<file path=xl/ctrlProps/ctrlProp96.xml><?xml version="1.0" encoding="utf-8"?>
<formControlPr xmlns="http://schemas.microsoft.com/office/spreadsheetml/2009/9/main" objectType="Drop" dropStyle="combo" dx="16" fmlaLink="C32" fmlaRange="RM_Lookup!$I$18:$I$22" noThreeD="1" sel="1" val="0"/>
</file>

<file path=xl/ctrlProps/ctrlProp97.xml><?xml version="1.0" encoding="utf-8"?>
<formControlPr xmlns="http://schemas.microsoft.com/office/spreadsheetml/2009/9/main" objectType="Drop" dropStyle="combo" dx="16" fmlaLink="C33" fmlaRange="RM_Lookup!$J$18:$J$22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2</xdr:row>
      <xdr:rowOff>66675</xdr:rowOff>
    </xdr:from>
    <xdr:to>
      <xdr:col>8</xdr:col>
      <xdr:colOff>676275</xdr:colOff>
      <xdr:row>22</xdr:row>
      <xdr:rowOff>9526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57150</xdr:colOff>
      <xdr:row>1</xdr:row>
      <xdr:rowOff>1</xdr:rowOff>
    </xdr:from>
    <xdr:to>
      <xdr:col>6</xdr:col>
      <xdr:colOff>47625</xdr:colOff>
      <xdr:row>2</xdr:row>
      <xdr:rowOff>9526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09650" y="1"/>
          <a:ext cx="27336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cap="none" spc="300" baseline="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solidFill>
                <a:srgbClr val="FFFF00"/>
              </a:soli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  <a:latin typeface="Arial" panose="020B0604020202020204" pitchFamily="34" charset="0"/>
              <a:cs typeface="Arial" panose="020B0604020202020204" pitchFamily="34" charset="0"/>
            </a:rPr>
            <a:t>Segmentation360</a:t>
          </a:r>
          <a:r>
            <a:rPr lang="en-US" sz="1200" b="1" cap="none" spc="300" baseline="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  <a:latin typeface="Arial" panose="020B0604020202020204" pitchFamily="34" charset="0"/>
              <a:cs typeface="Arial" panose="020B0604020202020204" pitchFamily="34" charset="0"/>
            </a:rPr>
            <a:t>°</a:t>
          </a:r>
        </a:p>
      </xdr:txBody>
    </xdr:sp>
    <xdr:clientData/>
  </xdr:twoCellAnchor>
  <xdr:twoCellAnchor>
    <xdr:from>
      <xdr:col>1</xdr:col>
      <xdr:colOff>352425</xdr:colOff>
      <xdr:row>20</xdr:row>
      <xdr:rowOff>66675</xdr:rowOff>
    </xdr:from>
    <xdr:to>
      <xdr:col>3</xdr:col>
      <xdr:colOff>314325</xdr:colOff>
      <xdr:row>21</xdr:row>
      <xdr:rowOff>142875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619125" y="3619500"/>
          <a:ext cx="13335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1200" b="0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Acquisition</a:t>
          </a:r>
        </a:p>
      </xdr:txBody>
    </xdr:sp>
    <xdr:clientData/>
  </xdr:twoCellAnchor>
  <xdr:twoCellAnchor>
    <xdr:from>
      <xdr:col>1</xdr:col>
      <xdr:colOff>400050</xdr:colOff>
      <xdr:row>4</xdr:row>
      <xdr:rowOff>0</xdr:rowOff>
    </xdr:from>
    <xdr:to>
      <xdr:col>3</xdr:col>
      <xdr:colOff>361950</xdr:colOff>
      <xdr:row>5</xdr:row>
      <xdr:rowOff>180975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666750" y="523875"/>
          <a:ext cx="1333500" cy="266700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l"/>
          <a:r>
            <a:rPr lang="en-US" sz="12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Exposed</a:t>
          </a:r>
          <a:endParaRPr lang="en-US" sz="1200" b="0" cap="none" spc="50" baseline="0">
            <a:ln w="11430">
              <a:solidFill>
                <a:srgbClr val="FF0000"/>
              </a:solidFill>
            </a:ln>
            <a:solidFill>
              <a:sysClr val="windowText" lastClr="00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285750</xdr:colOff>
      <xdr:row>20</xdr:row>
      <xdr:rowOff>104775</xdr:rowOff>
    </xdr:from>
    <xdr:to>
      <xdr:col>8</xdr:col>
      <xdr:colOff>247650</xdr:colOff>
      <xdr:row>21</xdr:row>
      <xdr:rowOff>180975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981450" y="3657600"/>
          <a:ext cx="13335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pPr algn="r"/>
          <a:r>
            <a:rPr lang="en-US" sz="1200" b="0" cap="none" spc="0">
              <a:ln/>
              <a:solidFill>
                <a:schemeClr val="accent3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Leverage</a:t>
          </a:r>
        </a:p>
      </xdr:txBody>
    </xdr:sp>
    <xdr:clientData/>
  </xdr:twoCellAnchor>
  <xdr:twoCellAnchor>
    <xdr:from>
      <xdr:col>6</xdr:col>
      <xdr:colOff>266700</xdr:colOff>
      <xdr:row>3</xdr:row>
      <xdr:rowOff>19050</xdr:rowOff>
    </xdr:from>
    <xdr:to>
      <xdr:col>8</xdr:col>
      <xdr:colOff>228600</xdr:colOff>
      <xdr:row>5</xdr:row>
      <xdr:rowOff>142875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3962400" y="485775"/>
          <a:ext cx="13335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2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Strategic</a:t>
          </a:r>
        </a:p>
      </xdr:txBody>
    </xdr:sp>
    <xdr:clientData/>
  </xdr:twoCellAnchor>
  <xdr:twoCellAnchor>
    <xdr:from>
      <xdr:col>9</xdr:col>
      <xdr:colOff>238125</xdr:colOff>
      <xdr:row>2</xdr:row>
      <xdr:rowOff>76200</xdr:rowOff>
    </xdr:from>
    <xdr:to>
      <xdr:col>17</xdr:col>
      <xdr:colOff>333375</xdr:colOff>
      <xdr:row>22</xdr:row>
      <xdr:rowOff>19050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862411" y="941475"/>
          <a:ext cx="5454371" cy="3264388"/>
          <a:chOff x="161925" y="4124325"/>
          <a:chExt cx="5581650" cy="3143250"/>
        </a:xfrm>
      </xdr:grpSpPr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>
            <a:graphicFrameLocks/>
          </xdr:cNvGraphicFramePr>
        </xdr:nvGraphicFramePr>
        <xdr:xfrm>
          <a:off x="161925" y="4124325"/>
          <a:ext cx="558165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 txBox="1"/>
        </xdr:nvSpPr>
        <xdr:spPr>
          <a:xfrm>
            <a:off x="3943350" y="696277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r"/>
            <a:r>
              <a:rPr lang="en-US" sz="1200" b="0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Exploit</a:t>
            </a:r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 txBox="1"/>
        </xdr:nvSpPr>
        <xdr:spPr>
          <a:xfrm>
            <a:off x="3962400" y="4171950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flat" dir="t">
                <a:rot lat="0" lon="0" rev="18900000"/>
              </a:lightRig>
            </a:scene3d>
            <a:sp3d extrusionH="31750" contourW="6350" prstMaterial="powder">
              <a:bevelT w="19050" h="19050" prst="angle"/>
              <a:contourClr>
                <a:schemeClr val="accent3">
                  <a:tint val="100000"/>
                  <a:shade val="100000"/>
                  <a:satMod val="100000"/>
                  <a:hueMod val="100000"/>
                </a:schemeClr>
              </a:contourClr>
            </a:sp3d>
          </a:bodyPr>
          <a:lstStyle/>
          <a:p>
            <a:pPr algn="r"/>
            <a:r>
              <a:rPr lang="en-US" sz="1200" b="0" cap="none" spc="0">
                <a:ln/>
                <a:solidFill>
                  <a:schemeClr val="accent3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Core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 txBox="1"/>
        </xdr:nvSpPr>
        <xdr:spPr>
          <a:xfrm>
            <a:off x="666750" y="4171950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l"/>
            <a:r>
              <a:rPr lang="en-US" sz="1200" b="0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Develop</a:t>
            </a:r>
          </a:p>
        </xdr:txBody>
      </xdr:sp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 txBox="1"/>
        </xdr:nvSpPr>
        <xdr:spPr>
          <a:xfrm>
            <a:off x="628650" y="694372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l"/>
            <a:r>
              <a:rPr lang="en-US" sz="1200" b="0" cap="none" spc="50">
                <a:ln w="11430">
                  <a:solidFill>
                    <a:srgbClr val="FF0000"/>
                  </a:solidFill>
                </a:ln>
                <a:solidFill>
                  <a:srgbClr val="FF0000"/>
                </a:soli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Nuisance</a:t>
            </a:r>
          </a:p>
        </xdr:txBody>
      </xdr:sp>
    </xdr:grpSp>
    <xdr:clientData/>
  </xdr:twoCellAnchor>
  <xdr:twoCellAnchor>
    <xdr:from>
      <xdr:col>0</xdr:col>
      <xdr:colOff>161925</xdr:colOff>
      <xdr:row>23</xdr:row>
      <xdr:rowOff>28575</xdr:rowOff>
    </xdr:from>
    <xdr:to>
      <xdr:col>9</xdr:col>
      <xdr:colOff>57150</xdr:colOff>
      <xdr:row>41</xdr:row>
      <xdr:rowOff>123825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61925" y="4396817"/>
          <a:ext cx="5519511" cy="3667997"/>
          <a:chOff x="5895975" y="800100"/>
          <a:chExt cx="5581650" cy="3143250"/>
        </a:xfrm>
      </xdr:grpSpPr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aphicFramePr>
            <a:graphicFrameLocks/>
          </xdr:cNvGraphicFramePr>
        </xdr:nvGraphicFramePr>
        <xdr:xfrm>
          <a:off x="5895975" y="800100"/>
          <a:ext cx="558165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6343650" y="362902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l"/>
            <a:r>
              <a:rPr lang="en-US" sz="1200" b="0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Transactional</a:t>
            </a:r>
          </a:p>
        </xdr:txBody>
      </xdr:sp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 txBox="1"/>
        </xdr:nvSpPr>
        <xdr:spPr>
          <a:xfrm>
            <a:off x="6362700" y="857250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l"/>
            <a:r>
              <a:rPr lang="en-US" sz="1200" b="0" cap="none" spc="50" baseline="0">
                <a:ln w="11430">
                  <a:solidFill>
                    <a:srgbClr val="FF0000"/>
                  </a:solidFill>
                </a:ln>
                <a:solidFill>
                  <a:srgbClr val="FF0000"/>
                </a:soli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Critical</a:t>
            </a:r>
          </a:p>
        </xdr:txBody>
      </xdr:sp>
      <xdr:sp macro="" textlink="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 txBox="1"/>
        </xdr:nvSpPr>
        <xdr:spPr>
          <a:xfrm>
            <a:off x="9734550" y="364807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flat" dir="t">
                <a:rot lat="0" lon="0" rev="18900000"/>
              </a:lightRig>
            </a:scene3d>
            <a:sp3d extrusionH="31750" contourW="6350" prstMaterial="powder">
              <a:bevelT w="19050" h="19050" prst="angle"/>
              <a:contourClr>
                <a:schemeClr val="accent3">
                  <a:tint val="100000"/>
                  <a:shade val="100000"/>
                  <a:satMod val="100000"/>
                  <a:hueMod val="100000"/>
                </a:schemeClr>
              </a:contourClr>
            </a:sp3d>
          </a:bodyPr>
          <a:lstStyle/>
          <a:p>
            <a:pPr algn="r"/>
            <a:r>
              <a:rPr lang="en-US" sz="1200" b="0" cap="none" spc="0">
                <a:ln/>
                <a:solidFill>
                  <a:schemeClr val="accent3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Preferred</a:t>
            </a:r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 txBox="1"/>
        </xdr:nvSpPr>
        <xdr:spPr>
          <a:xfrm>
            <a:off x="9686925" y="84772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r"/>
            <a:r>
              <a:rPr lang="en-US" sz="1200" b="0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Strategic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</xdr:row>
          <xdr:rowOff>38100</xdr:rowOff>
        </xdr:from>
        <xdr:to>
          <xdr:col>8</xdr:col>
          <xdr:colOff>152400</xdr:colOff>
          <xdr:row>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Analyze Category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257174</xdr:colOff>
      <xdr:row>22</xdr:row>
      <xdr:rowOff>171450</xdr:rowOff>
    </xdr:from>
    <xdr:to>
      <xdr:col>17</xdr:col>
      <xdr:colOff>495299</xdr:colOff>
      <xdr:row>42</xdr:row>
      <xdr:rowOff>38100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215900</xdr:colOff>
          <xdr:row>1</xdr:row>
          <xdr:rowOff>38100</xdr:rowOff>
        </xdr:from>
        <xdr:to>
          <xdr:col>10</xdr:col>
          <xdr:colOff>292100</xdr:colOff>
          <xdr:row>1</xdr:row>
          <xdr:rowOff>304800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All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657225</xdr:colOff>
      <xdr:row>6</xdr:row>
      <xdr:rowOff>0</xdr:rowOff>
    </xdr:from>
    <xdr:to>
      <xdr:col>4</xdr:col>
      <xdr:colOff>657225</xdr:colOff>
      <xdr:row>20</xdr:row>
      <xdr:rowOff>57150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981325" y="800100"/>
          <a:ext cx="0" cy="27241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447675</xdr:colOff>
      <xdr:row>13</xdr:row>
      <xdr:rowOff>28575</xdr:rowOff>
    </xdr:from>
    <xdr:to>
      <xdr:col>8</xdr:col>
      <xdr:colOff>180975</xdr:colOff>
      <xdr:row>13</xdr:row>
      <xdr:rowOff>38100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714375" y="2162175"/>
          <a:ext cx="4533900" cy="95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662608</xdr:colOff>
      <xdr:row>25</xdr:row>
      <xdr:rowOff>84759</xdr:rowOff>
    </xdr:from>
    <xdr:to>
      <xdr:col>5</xdr:col>
      <xdr:colOff>322</xdr:colOff>
      <xdr:row>40</xdr:row>
      <xdr:rowOff>15646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2944927" y="4686208"/>
          <a:ext cx="9525" cy="28298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437433</xdr:colOff>
      <xdr:row>33</xdr:row>
      <xdr:rowOff>922</xdr:rowOff>
    </xdr:from>
    <xdr:to>
      <xdr:col>8</xdr:col>
      <xdr:colOff>218358</xdr:colOff>
      <xdr:row>33</xdr:row>
      <xdr:rowOff>19972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703723" y="6064148"/>
          <a:ext cx="4512700" cy="190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304800</xdr:colOff>
      <xdr:row>6</xdr:row>
      <xdr:rowOff>19050</xdr:rowOff>
    </xdr:from>
    <xdr:to>
      <xdr:col>13</xdr:col>
      <xdr:colOff>304800</xdr:colOff>
      <xdr:row>20</xdr:row>
      <xdr:rowOff>66675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8801100" y="819150"/>
          <a:ext cx="0" cy="27146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13</xdr:row>
      <xdr:rowOff>28575</xdr:rowOff>
    </xdr:from>
    <xdr:to>
      <xdr:col>16</xdr:col>
      <xdr:colOff>514350</xdr:colOff>
      <xdr:row>13</xdr:row>
      <xdr:rowOff>57150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6543675" y="2162175"/>
          <a:ext cx="4524375" cy="28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</xdr:colOff>
      <xdr:row>0</xdr:row>
      <xdr:rowOff>133350</xdr:rowOff>
    </xdr:from>
    <xdr:to>
      <xdr:col>12</xdr:col>
      <xdr:colOff>63500</xdr:colOff>
      <xdr:row>0</xdr:row>
      <xdr:rowOff>469900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/>
        </xdr:cNvSpPr>
      </xdr:nvSpPr>
      <xdr:spPr>
        <a:xfrm>
          <a:off x="285750" y="133350"/>
          <a:ext cx="7448550" cy="336550"/>
        </a:xfrm>
        <a:prstGeom prst="rect">
          <a:avLst/>
        </a:prstGeom>
      </xdr:spPr>
      <xdr:txBody>
        <a:bodyPr wrap="square" lIns="0" tIns="0" rIns="0" bIns="0">
          <a:noAutofit/>
        </a:bodyPr>
        <a:lstStyle/>
        <a:p>
          <a:pPr marL="0" marR="0">
            <a:spcBef>
              <a:spcPts val="0"/>
            </a:spcBef>
            <a:spcAft>
              <a:spcPts val="0"/>
            </a:spcAft>
          </a:pPr>
          <a:r>
            <a:rPr lang="en-US" sz="1600" b="1" kern="1200" spc="270">
              <a:solidFill>
                <a:srgbClr val="000000"/>
              </a:solidFill>
              <a:effectLst/>
              <a:latin typeface="Arial" panose="020B0604020202020204" pitchFamily="34" charset="0"/>
              <a:ea typeface="SimSun" panose="02010600030101010101" pitchFamily="2" charset="-122"/>
              <a:cs typeface="Arial" panose="020B0604020202020204" pitchFamily="34" charset="0"/>
            </a:rPr>
            <a:t>SUPPLY CHAIN RESOURCE</a:t>
          </a:r>
          <a:r>
            <a:rPr lang="en-US" sz="1600" b="1" kern="1200" spc="270" baseline="0">
              <a:solidFill>
                <a:srgbClr val="000000"/>
              </a:solidFill>
              <a:effectLst/>
              <a:latin typeface="Arial" panose="020B0604020202020204" pitchFamily="34" charset="0"/>
              <a:ea typeface="SimSun" panose="02010600030101010101" pitchFamily="2" charset="-122"/>
              <a:cs typeface="Arial" panose="020B0604020202020204" pitchFamily="34" charset="0"/>
            </a:rPr>
            <a:t> COOPERATIVE</a:t>
          </a:r>
        </a:p>
        <a:p>
          <a:pPr marL="0" marR="0">
            <a:spcBef>
              <a:spcPts val="0"/>
            </a:spcBef>
            <a:spcAft>
              <a:spcPts val="0"/>
            </a:spcAft>
          </a:pPr>
          <a:endParaRPr lang="en-US" sz="1600">
            <a:effectLst/>
            <a:latin typeface="Arial" panose="020B0604020202020204" pitchFamily="34" charset="0"/>
            <a:ea typeface="SimSun" panose="02010600030101010101" pitchFamily="2" charset="-122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0.16184</cdr:x>
      <cdr:y>0.87766</cdr:y>
    </cdr:from>
    <cdr:to>
      <cdr:x>0.89608</cdr:x>
      <cdr:y>0.9397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26457" y="3327165"/>
          <a:ext cx="4203175" cy="2351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just"/>
          <a:r>
            <a:rPr lang="en-US" sz="1000" b="1">
              <a:latin typeface="Arial" panose="020B0604020202020204" pitchFamily="34" charset="0"/>
              <a:cs typeface="Arial" panose="020B0604020202020204" pitchFamily="34" charset="0"/>
            </a:rPr>
            <a:t>Low Moderate</a:t>
          </a:r>
          <a:r>
            <a:rPr lang="en-US" sz="1000" b="1" baseline="0">
              <a:latin typeface="Arial" panose="020B0604020202020204" pitchFamily="34" charset="0"/>
              <a:cs typeface="Arial" panose="020B0604020202020204" pitchFamily="34" charset="0"/>
            </a:rPr>
            <a:t> High</a:t>
          </a:r>
          <a:br>
            <a:rPr lang="en-US" sz="1000" b="1" baseline="0"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1000" b="1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0.07411</cdr:x>
      <cdr:y>0.17376</cdr:y>
    </cdr:from>
    <cdr:to>
      <cdr:x>0.1201</cdr:x>
      <cdr:y>0.84397</cdr:y>
    </cdr:to>
    <cdr:sp macro="" textlink="">
      <cdr:nvSpPr>
        <cdr:cNvPr id="3" name="TextBox 1"/>
        <cdr:cNvSpPr txBox="1"/>
      </cdr:nvSpPr>
      <cdr:spPr>
        <a:xfrm xmlns:a="http://schemas.openxmlformats.org/drawingml/2006/main" rot="16200000">
          <a:off x="-1257299" y="2605088"/>
          <a:ext cx="3600449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just"/>
          <a:r>
            <a:rPr lang="en-US" sz="1000" b="1">
              <a:latin typeface="Arial" panose="020B0604020202020204" pitchFamily="34" charset="0"/>
              <a:cs typeface="Arial" panose="020B0604020202020204" pitchFamily="34" charset="0"/>
            </a:rPr>
            <a:t>Low Moderate</a:t>
          </a:r>
          <a:r>
            <a:rPr lang="en-US" sz="1000" b="1" baseline="0">
              <a:latin typeface="Arial" panose="020B0604020202020204" pitchFamily="34" charset="0"/>
              <a:cs typeface="Arial" panose="020B0604020202020204" pitchFamily="34" charset="0"/>
            </a:rPr>
            <a:t> High</a:t>
          </a:r>
          <a:br>
            <a:rPr lang="en-US" sz="1000" b="1" baseline="0"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1000" b="1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</xdr:row>
          <xdr:rowOff>0</xdr:rowOff>
        </xdr:from>
        <xdr:to>
          <xdr:col>2</xdr:col>
          <xdr:colOff>3848100</xdr:colOff>
          <xdr:row>4</xdr:row>
          <xdr:rowOff>38100</xdr:rowOff>
        </xdr:to>
        <xdr:sp macro="" textlink="">
          <xdr:nvSpPr>
            <xdr:cNvPr id="54273" name="Drop Dow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1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</xdr:row>
          <xdr:rowOff>0</xdr:rowOff>
        </xdr:from>
        <xdr:to>
          <xdr:col>2</xdr:col>
          <xdr:colOff>3848100</xdr:colOff>
          <xdr:row>5</xdr:row>
          <xdr:rowOff>38100</xdr:rowOff>
        </xdr:to>
        <xdr:sp macro="" textlink="">
          <xdr:nvSpPr>
            <xdr:cNvPr id="54274" name="Drop Dow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1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</xdr:row>
          <xdr:rowOff>406400</xdr:rowOff>
        </xdr:from>
        <xdr:to>
          <xdr:col>2</xdr:col>
          <xdr:colOff>3848100</xdr:colOff>
          <xdr:row>5</xdr:row>
          <xdr:rowOff>444500</xdr:rowOff>
        </xdr:to>
        <xdr:sp macro="" textlink="">
          <xdr:nvSpPr>
            <xdr:cNvPr id="54275" name="Drop Dow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1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7</xdr:row>
          <xdr:rowOff>0</xdr:rowOff>
        </xdr:from>
        <xdr:to>
          <xdr:col>2</xdr:col>
          <xdr:colOff>3848100</xdr:colOff>
          <xdr:row>8</xdr:row>
          <xdr:rowOff>50800</xdr:rowOff>
        </xdr:to>
        <xdr:sp macro="" textlink="">
          <xdr:nvSpPr>
            <xdr:cNvPr id="54276" name="Drop Dow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1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25400</xdr:rowOff>
        </xdr:from>
        <xdr:to>
          <xdr:col>2</xdr:col>
          <xdr:colOff>3848100</xdr:colOff>
          <xdr:row>9</xdr:row>
          <xdr:rowOff>76200</xdr:rowOff>
        </xdr:to>
        <xdr:sp macro="" textlink="">
          <xdr:nvSpPr>
            <xdr:cNvPr id="54277" name="Drop Dow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1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0</xdr:rowOff>
        </xdr:from>
        <xdr:to>
          <xdr:col>2</xdr:col>
          <xdr:colOff>3848100</xdr:colOff>
          <xdr:row>10</xdr:row>
          <xdr:rowOff>38100</xdr:rowOff>
        </xdr:to>
        <xdr:sp macro="" textlink="">
          <xdr:nvSpPr>
            <xdr:cNvPr id="54278" name="Drop Dow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1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10</xdr:row>
          <xdr:rowOff>0</xdr:rowOff>
        </xdr:from>
        <xdr:to>
          <xdr:col>2</xdr:col>
          <xdr:colOff>3848100</xdr:colOff>
          <xdr:row>11</xdr:row>
          <xdr:rowOff>50800</xdr:rowOff>
        </xdr:to>
        <xdr:sp macro="" textlink="">
          <xdr:nvSpPr>
            <xdr:cNvPr id="54279" name="Drop Dow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1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25400</xdr:rowOff>
        </xdr:from>
        <xdr:to>
          <xdr:col>2</xdr:col>
          <xdr:colOff>3848100</xdr:colOff>
          <xdr:row>11</xdr:row>
          <xdr:rowOff>482600</xdr:rowOff>
        </xdr:to>
        <xdr:sp macro="" textlink="">
          <xdr:nvSpPr>
            <xdr:cNvPr id="54280" name="Drop Dow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1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2844800</xdr:colOff>
          <xdr:row>0</xdr:row>
          <xdr:rowOff>63500</xdr:rowOff>
        </xdr:from>
        <xdr:to>
          <xdr:col>2</xdr:col>
          <xdr:colOff>0</xdr:colOff>
          <xdr:row>0</xdr:row>
          <xdr:rowOff>330200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1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808080"/>
                  </a:solidFill>
                  <a:latin typeface="Calibri" pitchFamily="2" charset="0"/>
                  <a:cs typeface="Calibri" pitchFamily="2" charset="0"/>
                </a:rPr>
                <a:t>Analyze Supplier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200024</xdr:colOff>
      <xdr:row>1</xdr:row>
      <xdr:rowOff>38099</xdr:rowOff>
    </xdr:from>
    <xdr:to>
      <xdr:col>13</xdr:col>
      <xdr:colOff>285749</xdr:colOff>
      <xdr:row>12</xdr:row>
      <xdr:rowOff>657224</xdr:rowOff>
    </xdr:to>
    <xdr:graphicFrame macro="">
      <xdr:nvGraphicFramePr>
        <xdr:cNvPr id="2" name="Chart 1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152400</xdr:colOff>
      <xdr:row>12</xdr:row>
      <xdr:rowOff>180975</xdr:rowOff>
    </xdr:from>
    <xdr:to>
      <xdr:col>6</xdr:col>
      <xdr:colOff>439710</xdr:colOff>
      <xdr:row>12</xdr:row>
      <xdr:rowOff>576223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1379200" y="5032375"/>
          <a:ext cx="1633510" cy="3952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1400" b="0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Acquisition</a:t>
          </a:r>
        </a:p>
      </xdr:txBody>
    </xdr:sp>
    <xdr:clientData/>
  </xdr:twoCellAnchor>
  <xdr:twoCellAnchor>
    <xdr:from>
      <xdr:col>4</xdr:col>
      <xdr:colOff>152400</xdr:colOff>
      <xdr:row>1</xdr:row>
      <xdr:rowOff>209550</xdr:rowOff>
    </xdr:from>
    <xdr:to>
      <xdr:col>6</xdr:col>
      <xdr:colOff>439710</xdr:colOff>
      <xdr:row>2</xdr:row>
      <xdr:rowOff>195223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1379200" y="603250"/>
          <a:ext cx="1633510" cy="3920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l"/>
          <a:r>
            <a:rPr lang="en-US" sz="1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Exposed</a:t>
          </a:r>
          <a:endParaRPr lang="en-US" sz="1400" b="0" cap="none" spc="50" baseline="0">
            <a:ln w="11430">
              <a:solidFill>
                <a:srgbClr val="FF0000"/>
              </a:solidFill>
            </a:ln>
            <a:solidFill>
              <a:sysClr val="windowText" lastClr="00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  <xdr:twoCellAnchor>
    <xdr:from>
      <xdr:col>10</xdr:col>
      <xdr:colOff>104775</xdr:colOff>
      <xdr:row>12</xdr:row>
      <xdr:rowOff>190500</xdr:rowOff>
    </xdr:from>
    <xdr:to>
      <xdr:col>12</xdr:col>
      <xdr:colOff>392085</xdr:colOff>
      <xdr:row>12</xdr:row>
      <xdr:rowOff>585748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5370175" y="5041900"/>
          <a:ext cx="1633510" cy="3952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pPr algn="r"/>
          <a:r>
            <a:rPr lang="en-US" sz="1400" b="0" cap="none" spc="0">
              <a:ln/>
              <a:solidFill>
                <a:schemeClr val="accent3"/>
              </a:solidFill>
              <a:effectLst/>
            </a:rPr>
            <a:t>Leverage</a:t>
          </a:r>
        </a:p>
      </xdr:txBody>
    </xdr:sp>
    <xdr:clientData/>
  </xdr:twoCellAnchor>
  <xdr:twoCellAnchor>
    <xdr:from>
      <xdr:col>10</xdr:col>
      <xdr:colOff>66675</xdr:colOff>
      <xdr:row>1</xdr:row>
      <xdr:rowOff>209550</xdr:rowOff>
    </xdr:from>
    <xdr:to>
      <xdr:col>12</xdr:col>
      <xdr:colOff>353985</xdr:colOff>
      <xdr:row>2</xdr:row>
      <xdr:rowOff>195223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332075" y="603250"/>
          <a:ext cx="1633510" cy="3920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Strategic</a:t>
          </a:r>
        </a:p>
      </xdr:txBody>
    </xdr:sp>
    <xdr:clientData/>
  </xdr:twoCellAnchor>
  <xdr:twoCellAnchor>
    <xdr:from>
      <xdr:col>8</xdr:col>
      <xdr:colOff>19050</xdr:colOff>
      <xdr:row>2</xdr:row>
      <xdr:rowOff>190500</xdr:rowOff>
    </xdr:from>
    <xdr:to>
      <xdr:col>8</xdr:col>
      <xdr:colOff>28575</xdr:colOff>
      <xdr:row>12</xdr:row>
      <xdr:rowOff>171450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H="1">
          <a:off x="13938250" y="990600"/>
          <a:ext cx="9525" cy="40322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933450</xdr:colOff>
      <xdr:row>7</xdr:row>
      <xdr:rowOff>304800</xdr:rowOff>
    </xdr:from>
    <xdr:to>
      <xdr:col>12</xdr:col>
      <xdr:colOff>314325</xdr:colOff>
      <xdr:row>7</xdr:row>
      <xdr:rowOff>314325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0966450" y="3022600"/>
          <a:ext cx="5959475" cy="95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495300</xdr:colOff>
      <xdr:row>0</xdr:row>
      <xdr:rowOff>9525</xdr:rowOff>
    </xdr:from>
    <xdr:to>
      <xdr:col>1</xdr:col>
      <xdr:colOff>2952750</xdr:colOff>
      <xdr:row>1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68400" y="9525"/>
          <a:ext cx="2457450" cy="422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borText" pitchFamily="34" charset="0"/>
              <a:cs typeface="Aharoni" pitchFamily="2" charset="-79"/>
            </a:rPr>
            <a:t>Segmentation360</a:t>
          </a:r>
          <a:endParaRPr lang="en-US" sz="1800" b="1" cap="none" spc="300" baseline="0">
            <a:ln w="11430" cmpd="sng">
              <a:solidFill>
                <a:schemeClr val="accent1">
                  <a:tint val="10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83000"/>
                    <a:shade val="100000"/>
                    <a:satMod val="200000"/>
                  </a:schemeClr>
                </a:gs>
                <a:gs pos="75000">
                  <a:schemeClr val="accent1">
                    <a:tint val="100000"/>
                    <a:shade val="50000"/>
                    <a:satMod val="150000"/>
                  </a:schemeClr>
                </a:gs>
              </a:gsLst>
              <a:lin ang="5400000"/>
            </a:gradFill>
            <a:effectLst>
              <a:glow rad="45500">
                <a:schemeClr val="accent1">
                  <a:satMod val="220000"/>
                  <a:alpha val="35000"/>
                </a:schemeClr>
              </a:glow>
            </a:effectLst>
            <a:latin typeface="ArborText" pitchFamily="34" charset="0"/>
            <a:cs typeface="Aharoni" pitchFamily="2" charset="-79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2844800</xdr:colOff>
          <xdr:row>0</xdr:row>
          <xdr:rowOff>63500</xdr:rowOff>
        </xdr:from>
        <xdr:to>
          <xdr:col>2</xdr:col>
          <xdr:colOff>0</xdr:colOff>
          <xdr:row>0</xdr:row>
          <xdr:rowOff>330200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1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Analyze Supplier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495300</xdr:colOff>
      <xdr:row>0</xdr:row>
      <xdr:rowOff>9525</xdr:rowOff>
    </xdr:from>
    <xdr:to>
      <xdr:col>1</xdr:col>
      <xdr:colOff>2952750</xdr:colOff>
      <xdr:row>1</xdr:row>
      <xdr:rowOff>38100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168400" y="9525"/>
          <a:ext cx="2457450" cy="422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borText" pitchFamily="34" charset="0"/>
              <a:cs typeface="Aharoni" pitchFamily="2" charset="-79"/>
            </a:rPr>
            <a:t>Segmentation360</a:t>
          </a:r>
          <a:endParaRPr lang="en-US" sz="1800" b="1" cap="none" spc="300" baseline="0">
            <a:ln w="11430" cmpd="sng">
              <a:solidFill>
                <a:schemeClr val="accent1">
                  <a:tint val="10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83000"/>
                    <a:shade val="100000"/>
                    <a:satMod val="200000"/>
                  </a:schemeClr>
                </a:gs>
                <a:gs pos="75000">
                  <a:schemeClr val="accent1">
                    <a:tint val="100000"/>
                    <a:shade val="50000"/>
                    <a:satMod val="150000"/>
                  </a:schemeClr>
                </a:gs>
              </a:gsLst>
              <a:lin ang="5400000"/>
            </a:gradFill>
            <a:effectLst>
              <a:glow rad="45500">
                <a:schemeClr val="accent1">
                  <a:satMod val="220000"/>
                  <a:alpha val="35000"/>
                </a:schemeClr>
              </a:glow>
            </a:effectLst>
            <a:latin typeface="ArborText" pitchFamily="34" charset="0"/>
            <a:cs typeface="Aharoni" pitchFamily="2" charset="-79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</xdr:row>
          <xdr:rowOff>0</xdr:rowOff>
        </xdr:from>
        <xdr:to>
          <xdr:col>2</xdr:col>
          <xdr:colOff>3848100</xdr:colOff>
          <xdr:row>4</xdr:row>
          <xdr:rowOff>38100</xdr:rowOff>
        </xdr:to>
        <xdr:sp macro="" textlink="">
          <xdr:nvSpPr>
            <xdr:cNvPr id="45057" name="Drop Dow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2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</xdr:row>
          <xdr:rowOff>0</xdr:rowOff>
        </xdr:from>
        <xdr:to>
          <xdr:col>2</xdr:col>
          <xdr:colOff>3848100</xdr:colOff>
          <xdr:row>5</xdr:row>
          <xdr:rowOff>38100</xdr:rowOff>
        </xdr:to>
        <xdr:sp macro="" textlink="">
          <xdr:nvSpPr>
            <xdr:cNvPr id="45058" name="Drop Dow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2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</xdr:row>
          <xdr:rowOff>406400</xdr:rowOff>
        </xdr:from>
        <xdr:to>
          <xdr:col>2</xdr:col>
          <xdr:colOff>3848100</xdr:colOff>
          <xdr:row>5</xdr:row>
          <xdr:rowOff>444500</xdr:rowOff>
        </xdr:to>
        <xdr:sp macro="" textlink="">
          <xdr:nvSpPr>
            <xdr:cNvPr id="45059" name="Drop Dow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2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7</xdr:row>
          <xdr:rowOff>0</xdr:rowOff>
        </xdr:from>
        <xdr:to>
          <xdr:col>2</xdr:col>
          <xdr:colOff>3848100</xdr:colOff>
          <xdr:row>8</xdr:row>
          <xdr:rowOff>50800</xdr:rowOff>
        </xdr:to>
        <xdr:sp macro="" textlink="">
          <xdr:nvSpPr>
            <xdr:cNvPr id="45060" name="Drop Dow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2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25400</xdr:rowOff>
        </xdr:from>
        <xdr:to>
          <xdr:col>2</xdr:col>
          <xdr:colOff>3848100</xdr:colOff>
          <xdr:row>9</xdr:row>
          <xdr:rowOff>76200</xdr:rowOff>
        </xdr:to>
        <xdr:sp macro="" textlink="">
          <xdr:nvSpPr>
            <xdr:cNvPr id="45061" name="Drop Dow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2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0</xdr:rowOff>
        </xdr:from>
        <xdr:to>
          <xdr:col>2</xdr:col>
          <xdr:colOff>3848100</xdr:colOff>
          <xdr:row>10</xdr:row>
          <xdr:rowOff>38100</xdr:rowOff>
        </xdr:to>
        <xdr:sp macro="" textlink="">
          <xdr:nvSpPr>
            <xdr:cNvPr id="45062" name="Drop Dow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2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10</xdr:row>
          <xdr:rowOff>0</xdr:rowOff>
        </xdr:from>
        <xdr:to>
          <xdr:col>2</xdr:col>
          <xdr:colOff>3848100</xdr:colOff>
          <xdr:row>11</xdr:row>
          <xdr:rowOff>50800</xdr:rowOff>
        </xdr:to>
        <xdr:sp macro="" textlink="">
          <xdr:nvSpPr>
            <xdr:cNvPr id="45063" name="Drop Dow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2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25400</xdr:rowOff>
        </xdr:from>
        <xdr:to>
          <xdr:col>2</xdr:col>
          <xdr:colOff>3848100</xdr:colOff>
          <xdr:row>11</xdr:row>
          <xdr:rowOff>482600</xdr:rowOff>
        </xdr:to>
        <xdr:sp macro="" textlink="">
          <xdr:nvSpPr>
            <xdr:cNvPr id="45064" name="Drop Dow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2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2844800</xdr:colOff>
          <xdr:row>0</xdr:row>
          <xdr:rowOff>63500</xdr:rowOff>
        </xdr:from>
        <xdr:to>
          <xdr:col>2</xdr:col>
          <xdr:colOff>0</xdr:colOff>
          <xdr:row>0</xdr:row>
          <xdr:rowOff>330200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2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808080"/>
                  </a:solidFill>
                  <a:latin typeface="Calibri" pitchFamily="2" charset="0"/>
                  <a:cs typeface="Calibri" pitchFamily="2" charset="0"/>
                </a:rPr>
                <a:t>Analyze Supplier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200024</xdr:colOff>
      <xdr:row>1</xdr:row>
      <xdr:rowOff>38099</xdr:rowOff>
    </xdr:from>
    <xdr:to>
      <xdr:col>13</xdr:col>
      <xdr:colOff>285749</xdr:colOff>
      <xdr:row>12</xdr:row>
      <xdr:rowOff>657224</xdr:rowOff>
    </xdr:to>
    <xdr:graphicFrame macro="">
      <xdr:nvGraphicFramePr>
        <xdr:cNvPr id="15" name="Chart 13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152400</xdr:colOff>
      <xdr:row>12</xdr:row>
      <xdr:rowOff>180975</xdr:rowOff>
    </xdr:from>
    <xdr:to>
      <xdr:col>6</xdr:col>
      <xdr:colOff>439710</xdr:colOff>
      <xdr:row>12</xdr:row>
      <xdr:rowOff>576223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10887075" y="5057775"/>
          <a:ext cx="1658910" cy="3952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1400" b="0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Acquisition</a:t>
          </a:r>
        </a:p>
      </xdr:txBody>
    </xdr:sp>
    <xdr:clientData/>
  </xdr:twoCellAnchor>
  <xdr:twoCellAnchor>
    <xdr:from>
      <xdr:col>4</xdr:col>
      <xdr:colOff>152400</xdr:colOff>
      <xdr:row>1</xdr:row>
      <xdr:rowOff>209550</xdr:rowOff>
    </xdr:from>
    <xdr:to>
      <xdr:col>6</xdr:col>
      <xdr:colOff>439710</xdr:colOff>
      <xdr:row>2</xdr:row>
      <xdr:rowOff>195223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0887075" y="609600"/>
          <a:ext cx="1658910" cy="3952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l"/>
          <a:r>
            <a:rPr lang="en-US" sz="1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Exposed</a:t>
          </a:r>
          <a:endParaRPr lang="en-US" sz="1400" b="0" cap="none" spc="50" baseline="0">
            <a:ln w="11430">
              <a:solidFill>
                <a:srgbClr val="FF0000"/>
              </a:solidFill>
            </a:ln>
            <a:solidFill>
              <a:sysClr val="windowText" lastClr="00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  <xdr:twoCellAnchor>
    <xdr:from>
      <xdr:col>10</xdr:col>
      <xdr:colOff>104775</xdr:colOff>
      <xdr:row>12</xdr:row>
      <xdr:rowOff>190500</xdr:rowOff>
    </xdr:from>
    <xdr:to>
      <xdr:col>12</xdr:col>
      <xdr:colOff>392085</xdr:colOff>
      <xdr:row>12</xdr:row>
      <xdr:rowOff>585748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4954250" y="5067300"/>
          <a:ext cx="1658910" cy="3952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pPr algn="r"/>
          <a:r>
            <a:rPr lang="en-US" sz="1400" b="0" cap="none" spc="0">
              <a:ln/>
              <a:solidFill>
                <a:schemeClr val="accent3"/>
              </a:solidFill>
              <a:effectLst/>
            </a:rPr>
            <a:t>Leverage</a:t>
          </a:r>
        </a:p>
      </xdr:txBody>
    </xdr:sp>
    <xdr:clientData/>
  </xdr:twoCellAnchor>
  <xdr:twoCellAnchor>
    <xdr:from>
      <xdr:col>10</xdr:col>
      <xdr:colOff>66675</xdr:colOff>
      <xdr:row>1</xdr:row>
      <xdr:rowOff>209550</xdr:rowOff>
    </xdr:from>
    <xdr:to>
      <xdr:col>12</xdr:col>
      <xdr:colOff>353985</xdr:colOff>
      <xdr:row>2</xdr:row>
      <xdr:rowOff>195223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14916150" y="609600"/>
          <a:ext cx="1658910" cy="3952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Strategic</a:t>
          </a:r>
        </a:p>
      </xdr:txBody>
    </xdr:sp>
    <xdr:clientData/>
  </xdr:twoCellAnchor>
  <xdr:twoCellAnchor>
    <xdr:from>
      <xdr:col>8</xdr:col>
      <xdr:colOff>19050</xdr:colOff>
      <xdr:row>2</xdr:row>
      <xdr:rowOff>190500</xdr:rowOff>
    </xdr:from>
    <xdr:to>
      <xdr:col>8</xdr:col>
      <xdr:colOff>28575</xdr:colOff>
      <xdr:row>12</xdr:row>
      <xdr:rowOff>171450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>
          <a:off x="14001750" y="1000125"/>
          <a:ext cx="9525" cy="40481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933450</xdr:colOff>
      <xdr:row>7</xdr:row>
      <xdr:rowOff>304800</xdr:rowOff>
    </xdr:from>
    <xdr:to>
      <xdr:col>12</xdr:col>
      <xdr:colOff>314325</xdr:colOff>
      <xdr:row>7</xdr:row>
      <xdr:rowOff>314325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10982325" y="3019425"/>
          <a:ext cx="6057900" cy="95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495300</xdr:colOff>
      <xdr:row>0</xdr:row>
      <xdr:rowOff>9525</xdr:rowOff>
    </xdr:from>
    <xdr:to>
      <xdr:col>1</xdr:col>
      <xdr:colOff>2952750</xdr:colOff>
      <xdr:row>1</xdr:row>
      <xdr:rowOff>38100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1171575" y="9525"/>
          <a:ext cx="2457450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borText" pitchFamily="34" charset="0"/>
              <a:cs typeface="Aharoni" pitchFamily="2" charset="-79"/>
            </a:rPr>
            <a:t>Segmentation360</a:t>
          </a:r>
          <a:endParaRPr lang="en-US" sz="1800" b="1" cap="none" spc="300" baseline="0">
            <a:ln w="11430" cmpd="sng">
              <a:solidFill>
                <a:schemeClr val="accent1">
                  <a:tint val="10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83000"/>
                    <a:shade val="100000"/>
                    <a:satMod val="200000"/>
                  </a:schemeClr>
                </a:gs>
                <a:gs pos="75000">
                  <a:schemeClr val="accent1">
                    <a:tint val="100000"/>
                    <a:shade val="50000"/>
                    <a:satMod val="150000"/>
                  </a:schemeClr>
                </a:gs>
              </a:gsLst>
              <a:lin ang="5400000"/>
            </a:gradFill>
            <a:effectLst>
              <a:glow rad="45500">
                <a:schemeClr val="accent1">
                  <a:satMod val="220000"/>
                  <a:alpha val="35000"/>
                </a:schemeClr>
              </a:glow>
            </a:effectLst>
            <a:latin typeface="ArborText" pitchFamily="34" charset="0"/>
            <a:cs typeface="Aharoni" pitchFamily="2" charset="-79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2844800</xdr:colOff>
          <xdr:row>0</xdr:row>
          <xdr:rowOff>63500</xdr:rowOff>
        </xdr:from>
        <xdr:to>
          <xdr:col>2</xdr:col>
          <xdr:colOff>0</xdr:colOff>
          <xdr:row>0</xdr:row>
          <xdr:rowOff>330200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2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808080"/>
                  </a:solidFill>
                  <a:latin typeface="Calibri" pitchFamily="2" charset="0"/>
                  <a:cs typeface="Calibri" pitchFamily="2" charset="0"/>
                </a:rPr>
                <a:t>Analyze Supplier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76200</xdr:colOff>
      <xdr:row>0</xdr:row>
      <xdr:rowOff>19051</xdr:rowOff>
    </xdr:from>
    <xdr:to>
      <xdr:col>1</xdr:col>
      <xdr:colOff>228600</xdr:colOff>
      <xdr:row>0</xdr:row>
      <xdr:rowOff>396559</xdr:rowOff>
    </xdr:to>
    <xdr:pic>
      <xdr:nvPicPr>
        <xdr:cNvPr id="23" name="Picture 22" descr="Image result for at&amp;t png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19051"/>
          <a:ext cx="828675" cy="3775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495300</xdr:colOff>
      <xdr:row>0</xdr:row>
      <xdr:rowOff>9525</xdr:rowOff>
    </xdr:from>
    <xdr:to>
      <xdr:col>1</xdr:col>
      <xdr:colOff>2952750</xdr:colOff>
      <xdr:row>1</xdr:row>
      <xdr:rowOff>38100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1171575" y="9525"/>
          <a:ext cx="2457450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borText" pitchFamily="34" charset="0"/>
              <a:cs typeface="Aharoni" pitchFamily="2" charset="-79"/>
            </a:rPr>
            <a:t>Segmentation360</a:t>
          </a:r>
          <a:endParaRPr lang="en-US" sz="1800" b="1" cap="none" spc="300" baseline="0">
            <a:ln w="11430" cmpd="sng">
              <a:solidFill>
                <a:schemeClr val="accent1">
                  <a:tint val="10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83000"/>
                    <a:shade val="100000"/>
                    <a:satMod val="200000"/>
                  </a:schemeClr>
                </a:gs>
                <a:gs pos="75000">
                  <a:schemeClr val="accent1">
                    <a:tint val="100000"/>
                    <a:shade val="50000"/>
                    <a:satMod val="150000"/>
                  </a:schemeClr>
                </a:gs>
              </a:gsLst>
              <a:lin ang="5400000"/>
            </a:gradFill>
            <a:effectLst>
              <a:glow rad="45500">
                <a:schemeClr val="accent1">
                  <a:satMod val="220000"/>
                  <a:alpha val="35000"/>
                </a:schemeClr>
              </a:glow>
            </a:effectLst>
            <a:latin typeface="ArborText" pitchFamily="34" charset="0"/>
            <a:cs typeface="Aharoni" pitchFamily="2" charset="-79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7</xdr:row>
          <xdr:rowOff>76200</xdr:rowOff>
        </xdr:from>
        <xdr:to>
          <xdr:col>3</xdr:col>
          <xdr:colOff>25400</xdr:colOff>
          <xdr:row>8</xdr:row>
          <xdr:rowOff>0</xdr:rowOff>
        </xdr:to>
        <xdr:sp macro="" textlink="">
          <xdr:nvSpPr>
            <xdr:cNvPr id="62465" name="Drop Dow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3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50800</xdr:rowOff>
        </xdr:from>
        <xdr:to>
          <xdr:col>3</xdr:col>
          <xdr:colOff>25400</xdr:colOff>
          <xdr:row>8</xdr:row>
          <xdr:rowOff>406400</xdr:rowOff>
        </xdr:to>
        <xdr:sp macro="" textlink="">
          <xdr:nvSpPr>
            <xdr:cNvPr id="62466" name="Drop Dow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3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50800</xdr:rowOff>
        </xdr:from>
        <xdr:to>
          <xdr:col>3</xdr:col>
          <xdr:colOff>25400</xdr:colOff>
          <xdr:row>9</xdr:row>
          <xdr:rowOff>406400</xdr:rowOff>
        </xdr:to>
        <xdr:sp macro="" textlink="">
          <xdr:nvSpPr>
            <xdr:cNvPr id="62467" name="Drop Dow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3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279400</xdr:rowOff>
        </xdr:from>
        <xdr:to>
          <xdr:col>3</xdr:col>
          <xdr:colOff>25400</xdr:colOff>
          <xdr:row>3</xdr:row>
          <xdr:rowOff>355600</xdr:rowOff>
        </xdr:to>
        <xdr:sp macro="" textlink="">
          <xdr:nvSpPr>
            <xdr:cNvPr id="62468" name="Drop Dow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03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</xdr:row>
          <xdr:rowOff>25400</xdr:rowOff>
        </xdr:from>
        <xdr:to>
          <xdr:col>3</xdr:col>
          <xdr:colOff>25400</xdr:colOff>
          <xdr:row>5</xdr:row>
          <xdr:rowOff>0</xdr:rowOff>
        </xdr:to>
        <xdr:sp macro="" textlink="">
          <xdr:nvSpPr>
            <xdr:cNvPr id="62469" name="Drop Dow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03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38100</xdr:rowOff>
        </xdr:from>
        <xdr:to>
          <xdr:col>3</xdr:col>
          <xdr:colOff>25400</xdr:colOff>
          <xdr:row>5</xdr:row>
          <xdr:rowOff>393700</xdr:rowOff>
        </xdr:to>
        <xdr:sp macro="" textlink="">
          <xdr:nvSpPr>
            <xdr:cNvPr id="62470" name="Drop Dow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03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219075</xdr:colOff>
      <xdr:row>14</xdr:row>
      <xdr:rowOff>114303</xdr:rowOff>
    </xdr:from>
    <xdr:to>
      <xdr:col>10</xdr:col>
      <xdr:colOff>428625</xdr:colOff>
      <xdr:row>26</xdr:row>
      <xdr:rowOff>180976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16</xdr:row>
          <xdr:rowOff>254000</xdr:rowOff>
        </xdr:from>
        <xdr:to>
          <xdr:col>3</xdr:col>
          <xdr:colOff>25400</xdr:colOff>
          <xdr:row>18</xdr:row>
          <xdr:rowOff>38100</xdr:rowOff>
        </xdr:to>
        <xdr:sp macro="" textlink="">
          <xdr:nvSpPr>
            <xdr:cNvPr id="62471" name="Drop Dow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03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18</xdr:row>
          <xdr:rowOff>63500</xdr:rowOff>
        </xdr:from>
        <xdr:to>
          <xdr:col>3</xdr:col>
          <xdr:colOff>25400</xdr:colOff>
          <xdr:row>19</xdr:row>
          <xdr:rowOff>63500</xdr:rowOff>
        </xdr:to>
        <xdr:sp macro="" textlink="">
          <xdr:nvSpPr>
            <xdr:cNvPr id="62472" name="Drop Dow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03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19</xdr:row>
          <xdr:rowOff>63500</xdr:rowOff>
        </xdr:from>
        <xdr:to>
          <xdr:col>3</xdr:col>
          <xdr:colOff>25400</xdr:colOff>
          <xdr:row>20</xdr:row>
          <xdr:rowOff>0</xdr:rowOff>
        </xdr:to>
        <xdr:sp macro="" textlink="">
          <xdr:nvSpPr>
            <xdr:cNvPr id="62473" name="Drop Dow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03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20</xdr:row>
          <xdr:rowOff>63500</xdr:rowOff>
        </xdr:from>
        <xdr:to>
          <xdr:col>3</xdr:col>
          <xdr:colOff>25400</xdr:colOff>
          <xdr:row>21</xdr:row>
          <xdr:rowOff>0</xdr:rowOff>
        </xdr:to>
        <xdr:sp macro="" textlink="">
          <xdr:nvSpPr>
            <xdr:cNvPr id="62474" name="Drop Dow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03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21</xdr:row>
          <xdr:rowOff>63500</xdr:rowOff>
        </xdr:from>
        <xdr:to>
          <xdr:col>3</xdr:col>
          <xdr:colOff>25400</xdr:colOff>
          <xdr:row>22</xdr:row>
          <xdr:rowOff>0</xdr:rowOff>
        </xdr:to>
        <xdr:sp macro="" textlink="">
          <xdr:nvSpPr>
            <xdr:cNvPr id="62475" name="Drop Dow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03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22</xdr:row>
          <xdr:rowOff>63500</xdr:rowOff>
        </xdr:from>
        <xdr:to>
          <xdr:col>3</xdr:col>
          <xdr:colOff>25400</xdr:colOff>
          <xdr:row>22</xdr:row>
          <xdr:rowOff>419100</xdr:rowOff>
        </xdr:to>
        <xdr:sp macro="" textlink="">
          <xdr:nvSpPr>
            <xdr:cNvPr id="62476" name="Drop Dow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00000000-0008-0000-0300-00000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23</xdr:row>
          <xdr:rowOff>63500</xdr:rowOff>
        </xdr:from>
        <xdr:to>
          <xdr:col>3</xdr:col>
          <xdr:colOff>25400</xdr:colOff>
          <xdr:row>24</xdr:row>
          <xdr:rowOff>0</xdr:rowOff>
        </xdr:to>
        <xdr:sp macro="" textlink="">
          <xdr:nvSpPr>
            <xdr:cNvPr id="62477" name="Drop Dow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03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31</xdr:row>
          <xdr:rowOff>12700</xdr:rowOff>
        </xdr:from>
        <xdr:to>
          <xdr:col>3</xdr:col>
          <xdr:colOff>25400</xdr:colOff>
          <xdr:row>31</xdr:row>
          <xdr:rowOff>368300</xdr:rowOff>
        </xdr:to>
        <xdr:sp macro="" textlink="">
          <xdr:nvSpPr>
            <xdr:cNvPr id="62478" name="Drop Dow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00000000-0008-0000-0300-00000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12700</xdr:rowOff>
        </xdr:from>
        <xdr:to>
          <xdr:col>3</xdr:col>
          <xdr:colOff>25400</xdr:colOff>
          <xdr:row>32</xdr:row>
          <xdr:rowOff>368300</xdr:rowOff>
        </xdr:to>
        <xdr:sp macro="" textlink="">
          <xdr:nvSpPr>
            <xdr:cNvPr id="62479" name="Drop Dow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00000000-0008-0000-0300-00000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1</xdr:row>
      <xdr:rowOff>57150</xdr:rowOff>
    </xdr:from>
    <xdr:to>
      <xdr:col>10</xdr:col>
      <xdr:colOff>314325</xdr:colOff>
      <xdr:row>11</xdr:row>
      <xdr:rowOff>3175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0563225" y="450850"/>
          <a:ext cx="5524500" cy="3616325"/>
          <a:chOff x="161925" y="4124325"/>
          <a:chExt cx="5581650" cy="3143250"/>
        </a:xfrm>
      </xdr:grpSpPr>
      <xdr:graphicFrame macro="">
        <xdr:nvGraphicFramePr>
          <xdr:cNvPr id="4" name="Chart 24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GraphicFramePr>
            <a:graphicFrameLocks/>
          </xdr:cNvGraphicFramePr>
        </xdr:nvGraphicFramePr>
        <xdr:xfrm>
          <a:off x="161925" y="4124325"/>
          <a:ext cx="558165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3943350" y="696277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r"/>
            <a:r>
              <a:rPr lang="en-US" sz="1400" b="0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</a:rPr>
              <a:t>Exploit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 txBox="1"/>
        </xdr:nvSpPr>
        <xdr:spPr>
          <a:xfrm>
            <a:off x="3962400" y="4171950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flat" dir="t">
                <a:rot lat="0" lon="0" rev="18900000"/>
              </a:lightRig>
            </a:scene3d>
            <a:sp3d extrusionH="31750" contourW="6350" prstMaterial="powder">
              <a:bevelT w="19050" h="19050" prst="angle"/>
              <a:contourClr>
                <a:schemeClr val="accent3">
                  <a:tint val="100000"/>
                  <a:shade val="100000"/>
                  <a:satMod val="100000"/>
                  <a:hueMod val="100000"/>
                </a:schemeClr>
              </a:contourClr>
            </a:sp3d>
          </a:bodyPr>
          <a:lstStyle/>
          <a:p>
            <a:pPr algn="r"/>
            <a:r>
              <a:rPr lang="en-US" sz="1400" b="0" cap="none" spc="0">
                <a:ln/>
                <a:solidFill>
                  <a:schemeClr val="accent3"/>
                </a:solidFill>
                <a:effectLst/>
              </a:rPr>
              <a:t>Core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 txBox="1"/>
        </xdr:nvSpPr>
        <xdr:spPr>
          <a:xfrm>
            <a:off x="666750" y="4171950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l"/>
            <a:r>
              <a:rPr lang="en-US" sz="1400" b="0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</a:rPr>
              <a:t>Develop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 txBox="1"/>
        </xdr:nvSpPr>
        <xdr:spPr>
          <a:xfrm>
            <a:off x="628650" y="694372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l"/>
            <a:r>
              <a:rPr lang="en-US" sz="1400" b="0" cap="none" spc="50">
                <a:ln w="11430">
                  <a:solidFill>
                    <a:srgbClr val="FF0000"/>
                  </a:solidFill>
                </a:ln>
                <a:solidFill>
                  <a:srgbClr val="FF0000"/>
                </a:soli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</a:rPr>
              <a:t>Nuisance</a:t>
            </a:r>
          </a:p>
        </xdr:txBody>
      </xdr:sp>
    </xdr:grpSp>
    <xdr:clientData/>
  </xdr:twoCellAnchor>
  <xdr:twoCellAnchor>
    <xdr:from>
      <xdr:col>7</xdr:col>
      <xdr:colOff>419100</xdr:colOff>
      <xdr:row>2</xdr:row>
      <xdr:rowOff>123825</xdr:rowOff>
    </xdr:from>
    <xdr:to>
      <xdr:col>7</xdr:col>
      <xdr:colOff>428625</xdr:colOff>
      <xdr:row>9</xdr:row>
      <xdr:rowOff>276225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3347700" y="860425"/>
          <a:ext cx="9525" cy="28956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66675</xdr:colOff>
      <xdr:row>6</xdr:row>
      <xdr:rowOff>104775</xdr:rowOff>
    </xdr:from>
    <xdr:to>
      <xdr:col>9</xdr:col>
      <xdr:colOff>504825</xdr:colOff>
      <xdr:row>6</xdr:row>
      <xdr:rowOff>114300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11102975" y="2301875"/>
          <a:ext cx="4502150" cy="95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12700</xdr:rowOff>
    </xdr:from>
    <xdr:to>
      <xdr:col>1</xdr:col>
      <xdr:colOff>1784350</xdr:colOff>
      <xdr:row>1</xdr:row>
      <xdr:rowOff>41275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0" y="12700"/>
          <a:ext cx="2457450" cy="422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borText" pitchFamily="34" charset="0"/>
              <a:cs typeface="Aharoni" pitchFamily="2" charset="-79"/>
            </a:rPr>
            <a:t>Segmentation360</a:t>
          </a:r>
          <a:endParaRPr lang="en-US" sz="1800" b="1" cap="none" spc="300" baseline="0">
            <a:ln w="11430" cmpd="sng">
              <a:solidFill>
                <a:schemeClr val="accent1">
                  <a:tint val="10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83000"/>
                    <a:shade val="100000"/>
                    <a:satMod val="200000"/>
                  </a:schemeClr>
                </a:gs>
                <a:gs pos="75000">
                  <a:schemeClr val="accent1">
                    <a:tint val="100000"/>
                    <a:shade val="50000"/>
                    <a:satMod val="150000"/>
                  </a:schemeClr>
                </a:gs>
              </a:gsLst>
              <a:lin ang="5400000"/>
            </a:gradFill>
            <a:effectLst>
              <a:glow rad="45500">
                <a:schemeClr val="accent1">
                  <a:satMod val="220000"/>
                  <a:alpha val="35000"/>
                </a:schemeClr>
              </a:glow>
            </a:effectLst>
            <a:latin typeface="ArborText" pitchFamily="34" charset="0"/>
            <a:cs typeface="Aharoni" pitchFamily="2" charset="-79"/>
          </a:endParaRPr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0.16184</cdr:x>
      <cdr:y>0.87766</cdr:y>
    </cdr:from>
    <cdr:to>
      <cdr:x>0.89608</cdr:x>
      <cdr:y>0.92553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04875" y="4714877"/>
          <a:ext cx="410527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just"/>
          <a:r>
            <a:rPr lang="en-US" sz="1200" b="1"/>
            <a:t>Low Moderate</a:t>
          </a:r>
          <a:r>
            <a:rPr lang="en-US" sz="1200" b="1" baseline="0"/>
            <a:t> High</a:t>
          </a:r>
          <a:br>
            <a:rPr lang="en-US" sz="1200" b="1" baseline="0"/>
          </a:br>
          <a:endParaRPr lang="en-US" sz="1200" b="1"/>
        </a:p>
      </cdr:txBody>
    </cdr:sp>
  </cdr:relSizeAnchor>
  <cdr:relSizeAnchor xmlns:cdr="http://schemas.openxmlformats.org/drawingml/2006/chartDrawing">
    <cdr:from>
      <cdr:x>0.07411</cdr:x>
      <cdr:y>0.17376</cdr:y>
    </cdr:from>
    <cdr:to>
      <cdr:x>0.1201</cdr:x>
      <cdr:y>0.84397</cdr:y>
    </cdr:to>
    <cdr:sp macro="" textlink="">
      <cdr:nvSpPr>
        <cdr:cNvPr id="3" name="TextBox 1"/>
        <cdr:cNvSpPr txBox="1"/>
      </cdr:nvSpPr>
      <cdr:spPr>
        <a:xfrm xmlns:a="http://schemas.openxmlformats.org/drawingml/2006/main" rot="16200000">
          <a:off x="-1257299" y="2605088"/>
          <a:ext cx="3600449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just"/>
          <a:r>
            <a:rPr lang="en-US" sz="1200" b="1"/>
            <a:t>Low Moderate</a:t>
          </a:r>
          <a:r>
            <a:rPr lang="en-US" sz="1200" b="1" baseline="0"/>
            <a:t> High</a:t>
          </a:r>
          <a:br>
            <a:rPr lang="en-US" sz="1200" b="1" baseline="0"/>
          </a:br>
          <a:endParaRPr lang="en-US" sz="1200" b="1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7</xdr:row>
          <xdr:rowOff>76200</xdr:rowOff>
        </xdr:from>
        <xdr:to>
          <xdr:col>3</xdr:col>
          <xdr:colOff>25400</xdr:colOff>
          <xdr:row>8</xdr:row>
          <xdr:rowOff>0</xdr:rowOff>
        </xdr:to>
        <xdr:sp macro="" textlink="">
          <xdr:nvSpPr>
            <xdr:cNvPr id="63489" name="Drop Dow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50800</xdr:rowOff>
        </xdr:from>
        <xdr:to>
          <xdr:col>3</xdr:col>
          <xdr:colOff>25400</xdr:colOff>
          <xdr:row>8</xdr:row>
          <xdr:rowOff>406400</xdr:rowOff>
        </xdr:to>
        <xdr:sp macro="" textlink="">
          <xdr:nvSpPr>
            <xdr:cNvPr id="63490" name="Drop Dow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50800</xdr:rowOff>
        </xdr:from>
        <xdr:to>
          <xdr:col>3</xdr:col>
          <xdr:colOff>25400</xdr:colOff>
          <xdr:row>9</xdr:row>
          <xdr:rowOff>406400</xdr:rowOff>
        </xdr:to>
        <xdr:sp macro="" textlink="">
          <xdr:nvSpPr>
            <xdr:cNvPr id="63491" name="Drop Dow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279400</xdr:rowOff>
        </xdr:from>
        <xdr:to>
          <xdr:col>3</xdr:col>
          <xdr:colOff>25400</xdr:colOff>
          <xdr:row>3</xdr:row>
          <xdr:rowOff>355600</xdr:rowOff>
        </xdr:to>
        <xdr:sp macro="" textlink="">
          <xdr:nvSpPr>
            <xdr:cNvPr id="63492" name="Drop Dow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4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</xdr:row>
          <xdr:rowOff>25400</xdr:rowOff>
        </xdr:from>
        <xdr:to>
          <xdr:col>3</xdr:col>
          <xdr:colOff>25400</xdr:colOff>
          <xdr:row>5</xdr:row>
          <xdr:rowOff>0</xdr:rowOff>
        </xdr:to>
        <xdr:sp macro="" textlink="">
          <xdr:nvSpPr>
            <xdr:cNvPr id="63493" name="Drop Dow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4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38100</xdr:rowOff>
        </xdr:from>
        <xdr:to>
          <xdr:col>3</xdr:col>
          <xdr:colOff>25400</xdr:colOff>
          <xdr:row>5</xdr:row>
          <xdr:rowOff>393700</xdr:rowOff>
        </xdr:to>
        <xdr:sp macro="" textlink="">
          <xdr:nvSpPr>
            <xdr:cNvPr id="63494" name="Drop Dow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4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219075</xdr:colOff>
      <xdr:row>14</xdr:row>
      <xdr:rowOff>114303</xdr:rowOff>
    </xdr:from>
    <xdr:to>
      <xdr:col>10</xdr:col>
      <xdr:colOff>428625</xdr:colOff>
      <xdr:row>26</xdr:row>
      <xdr:rowOff>180976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16</xdr:row>
          <xdr:rowOff>254000</xdr:rowOff>
        </xdr:from>
        <xdr:to>
          <xdr:col>3</xdr:col>
          <xdr:colOff>25400</xdr:colOff>
          <xdr:row>18</xdr:row>
          <xdr:rowOff>38100</xdr:rowOff>
        </xdr:to>
        <xdr:sp macro="" textlink="">
          <xdr:nvSpPr>
            <xdr:cNvPr id="63495" name="Drop Dow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04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18</xdr:row>
          <xdr:rowOff>63500</xdr:rowOff>
        </xdr:from>
        <xdr:to>
          <xdr:col>3</xdr:col>
          <xdr:colOff>25400</xdr:colOff>
          <xdr:row>19</xdr:row>
          <xdr:rowOff>63500</xdr:rowOff>
        </xdr:to>
        <xdr:sp macro="" textlink="">
          <xdr:nvSpPr>
            <xdr:cNvPr id="63496" name="Drop Dow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04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19</xdr:row>
          <xdr:rowOff>63500</xdr:rowOff>
        </xdr:from>
        <xdr:to>
          <xdr:col>3</xdr:col>
          <xdr:colOff>25400</xdr:colOff>
          <xdr:row>20</xdr:row>
          <xdr:rowOff>0</xdr:rowOff>
        </xdr:to>
        <xdr:sp macro="" textlink="">
          <xdr:nvSpPr>
            <xdr:cNvPr id="63497" name="Drop Dow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04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20</xdr:row>
          <xdr:rowOff>63500</xdr:rowOff>
        </xdr:from>
        <xdr:to>
          <xdr:col>3</xdr:col>
          <xdr:colOff>25400</xdr:colOff>
          <xdr:row>21</xdr:row>
          <xdr:rowOff>0</xdr:rowOff>
        </xdr:to>
        <xdr:sp macro="" textlink="">
          <xdr:nvSpPr>
            <xdr:cNvPr id="63498" name="Drop Dow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04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21</xdr:row>
          <xdr:rowOff>63500</xdr:rowOff>
        </xdr:from>
        <xdr:to>
          <xdr:col>3</xdr:col>
          <xdr:colOff>25400</xdr:colOff>
          <xdr:row>22</xdr:row>
          <xdr:rowOff>0</xdr:rowOff>
        </xdr:to>
        <xdr:sp macro="" textlink="">
          <xdr:nvSpPr>
            <xdr:cNvPr id="63499" name="Drop Dow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04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22</xdr:row>
          <xdr:rowOff>63500</xdr:rowOff>
        </xdr:from>
        <xdr:to>
          <xdr:col>3</xdr:col>
          <xdr:colOff>25400</xdr:colOff>
          <xdr:row>22</xdr:row>
          <xdr:rowOff>419100</xdr:rowOff>
        </xdr:to>
        <xdr:sp macro="" textlink="">
          <xdr:nvSpPr>
            <xdr:cNvPr id="63500" name="Drop Dow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04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23</xdr:row>
          <xdr:rowOff>63500</xdr:rowOff>
        </xdr:from>
        <xdr:to>
          <xdr:col>3</xdr:col>
          <xdr:colOff>25400</xdr:colOff>
          <xdr:row>24</xdr:row>
          <xdr:rowOff>0</xdr:rowOff>
        </xdr:to>
        <xdr:sp macro="" textlink="">
          <xdr:nvSpPr>
            <xdr:cNvPr id="63501" name="Drop Dow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04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31</xdr:row>
          <xdr:rowOff>12700</xdr:rowOff>
        </xdr:from>
        <xdr:to>
          <xdr:col>3</xdr:col>
          <xdr:colOff>25400</xdr:colOff>
          <xdr:row>31</xdr:row>
          <xdr:rowOff>368300</xdr:rowOff>
        </xdr:to>
        <xdr:sp macro="" textlink="">
          <xdr:nvSpPr>
            <xdr:cNvPr id="63502" name="Drop Dow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04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12700</xdr:rowOff>
        </xdr:from>
        <xdr:to>
          <xdr:col>3</xdr:col>
          <xdr:colOff>25400</xdr:colOff>
          <xdr:row>32</xdr:row>
          <xdr:rowOff>368300</xdr:rowOff>
        </xdr:to>
        <xdr:sp macro="" textlink="">
          <xdr:nvSpPr>
            <xdr:cNvPr id="63503" name="Drop Dow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04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1</xdr:row>
      <xdr:rowOff>57150</xdr:rowOff>
    </xdr:from>
    <xdr:to>
      <xdr:col>10</xdr:col>
      <xdr:colOff>314325</xdr:colOff>
      <xdr:row>11</xdr:row>
      <xdr:rowOff>3175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0563225" y="450850"/>
          <a:ext cx="5524500" cy="3616325"/>
          <a:chOff x="161925" y="4124325"/>
          <a:chExt cx="5581650" cy="3143250"/>
        </a:xfrm>
      </xdr:grpSpPr>
      <xdr:graphicFrame macro="">
        <xdr:nvGraphicFramePr>
          <xdr:cNvPr id="4" name="Chart 24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GraphicFramePr>
            <a:graphicFrameLocks/>
          </xdr:cNvGraphicFramePr>
        </xdr:nvGraphicFramePr>
        <xdr:xfrm>
          <a:off x="161925" y="4124325"/>
          <a:ext cx="558165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 txBox="1"/>
        </xdr:nvSpPr>
        <xdr:spPr>
          <a:xfrm>
            <a:off x="3943350" y="696277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r"/>
            <a:r>
              <a:rPr lang="en-US" sz="1400" b="0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</a:rPr>
              <a:t>Exploit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3962400" y="4171950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flat" dir="t">
                <a:rot lat="0" lon="0" rev="18900000"/>
              </a:lightRig>
            </a:scene3d>
            <a:sp3d extrusionH="31750" contourW="6350" prstMaterial="powder">
              <a:bevelT w="19050" h="19050" prst="angle"/>
              <a:contourClr>
                <a:schemeClr val="accent3">
                  <a:tint val="100000"/>
                  <a:shade val="100000"/>
                  <a:satMod val="100000"/>
                  <a:hueMod val="100000"/>
                </a:schemeClr>
              </a:contourClr>
            </a:sp3d>
          </a:bodyPr>
          <a:lstStyle/>
          <a:p>
            <a:pPr algn="r"/>
            <a:r>
              <a:rPr lang="en-US" sz="1400" b="0" cap="none" spc="0">
                <a:ln/>
                <a:solidFill>
                  <a:schemeClr val="accent3"/>
                </a:solidFill>
                <a:effectLst/>
              </a:rPr>
              <a:t>Core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 txBox="1"/>
        </xdr:nvSpPr>
        <xdr:spPr>
          <a:xfrm>
            <a:off x="666750" y="4171950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l"/>
            <a:r>
              <a:rPr lang="en-US" sz="1400" b="0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</a:rPr>
              <a:t>Develop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628650" y="694372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l"/>
            <a:r>
              <a:rPr lang="en-US" sz="1400" b="0" cap="none" spc="50">
                <a:ln w="11430">
                  <a:solidFill>
                    <a:srgbClr val="FF0000"/>
                  </a:solidFill>
                </a:ln>
                <a:solidFill>
                  <a:srgbClr val="FF0000"/>
                </a:soli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</a:rPr>
              <a:t>Nuisance</a:t>
            </a:r>
          </a:p>
        </xdr:txBody>
      </xdr:sp>
    </xdr:grpSp>
    <xdr:clientData/>
  </xdr:twoCellAnchor>
  <xdr:twoCellAnchor>
    <xdr:from>
      <xdr:col>7</xdr:col>
      <xdr:colOff>419100</xdr:colOff>
      <xdr:row>2</xdr:row>
      <xdr:rowOff>123825</xdr:rowOff>
    </xdr:from>
    <xdr:to>
      <xdr:col>7</xdr:col>
      <xdr:colOff>428625</xdr:colOff>
      <xdr:row>9</xdr:row>
      <xdr:rowOff>276225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CxnSpPr/>
      </xdr:nvCxnSpPr>
      <xdr:spPr>
        <a:xfrm>
          <a:off x="13347700" y="860425"/>
          <a:ext cx="9525" cy="28956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66675</xdr:colOff>
      <xdr:row>6</xdr:row>
      <xdr:rowOff>104775</xdr:rowOff>
    </xdr:from>
    <xdr:to>
      <xdr:col>9</xdr:col>
      <xdr:colOff>504825</xdr:colOff>
      <xdr:row>6</xdr:row>
      <xdr:rowOff>114300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>
          <a:off x="11102975" y="2301875"/>
          <a:ext cx="4502150" cy="95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12700</xdr:rowOff>
    </xdr:from>
    <xdr:to>
      <xdr:col>1</xdr:col>
      <xdr:colOff>1784350</xdr:colOff>
      <xdr:row>1</xdr:row>
      <xdr:rowOff>41275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0" y="12700"/>
          <a:ext cx="2457450" cy="422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borText" pitchFamily="34" charset="0"/>
              <a:cs typeface="Aharoni" pitchFamily="2" charset="-79"/>
            </a:rPr>
            <a:t>Segmentation360</a:t>
          </a:r>
          <a:endParaRPr lang="en-US" sz="1800" b="1" cap="none" spc="300" baseline="0">
            <a:ln w="11430" cmpd="sng">
              <a:solidFill>
                <a:schemeClr val="accent1">
                  <a:tint val="10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83000"/>
                    <a:shade val="100000"/>
                    <a:satMod val="200000"/>
                  </a:schemeClr>
                </a:gs>
                <a:gs pos="75000">
                  <a:schemeClr val="accent1">
                    <a:tint val="100000"/>
                    <a:shade val="50000"/>
                    <a:satMod val="150000"/>
                  </a:schemeClr>
                </a:gs>
              </a:gsLst>
              <a:lin ang="5400000"/>
            </a:gradFill>
            <a:effectLst>
              <a:glow rad="45500">
                <a:schemeClr val="accent1">
                  <a:satMod val="220000"/>
                  <a:alpha val="35000"/>
                </a:schemeClr>
              </a:glow>
            </a:effectLst>
            <a:latin typeface="ArborText" pitchFamily="34" charset="0"/>
            <a:cs typeface="Aharoni" pitchFamily="2" charset="-79"/>
          </a:endParaRPr>
        </a:p>
      </xdr:txBody>
    </xdr: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0.16184</cdr:x>
      <cdr:y>0.87766</cdr:y>
    </cdr:from>
    <cdr:to>
      <cdr:x>0.89608</cdr:x>
      <cdr:y>0.92553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04875" y="4714877"/>
          <a:ext cx="410527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just"/>
          <a:r>
            <a:rPr lang="en-US" sz="1200" b="1"/>
            <a:t>Low Moderate</a:t>
          </a:r>
          <a:r>
            <a:rPr lang="en-US" sz="1200" b="1" baseline="0"/>
            <a:t> High</a:t>
          </a:r>
          <a:br>
            <a:rPr lang="en-US" sz="1200" b="1" baseline="0"/>
          </a:br>
          <a:endParaRPr lang="en-US" sz="1200" b="1"/>
        </a:p>
      </cdr:txBody>
    </cdr:sp>
  </cdr:relSizeAnchor>
  <cdr:relSizeAnchor xmlns:cdr="http://schemas.openxmlformats.org/drawingml/2006/chartDrawing">
    <cdr:from>
      <cdr:x>0.07411</cdr:x>
      <cdr:y>0.17376</cdr:y>
    </cdr:from>
    <cdr:to>
      <cdr:x>0.1201</cdr:x>
      <cdr:y>0.84397</cdr:y>
    </cdr:to>
    <cdr:sp macro="" textlink="">
      <cdr:nvSpPr>
        <cdr:cNvPr id="3" name="TextBox 1"/>
        <cdr:cNvSpPr txBox="1"/>
      </cdr:nvSpPr>
      <cdr:spPr>
        <a:xfrm xmlns:a="http://schemas.openxmlformats.org/drawingml/2006/main" rot="16200000">
          <a:off x="-1257299" y="2605088"/>
          <a:ext cx="3600449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just"/>
          <a:r>
            <a:rPr lang="en-US" sz="1200" b="1"/>
            <a:t>Low Moderate</a:t>
          </a:r>
          <a:r>
            <a:rPr lang="en-US" sz="1200" b="1" baseline="0"/>
            <a:t> High</a:t>
          </a:r>
          <a:br>
            <a:rPr lang="en-US" sz="1200" b="1" baseline="0"/>
          </a:br>
          <a:endParaRPr lang="en-US" sz="1200" b="1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7</xdr:row>
          <xdr:rowOff>76200</xdr:rowOff>
        </xdr:from>
        <xdr:to>
          <xdr:col>3</xdr:col>
          <xdr:colOff>25400</xdr:colOff>
          <xdr:row>8</xdr:row>
          <xdr:rowOff>0</xdr:rowOff>
        </xdr:to>
        <xdr:sp macro="" textlink="">
          <xdr:nvSpPr>
            <xdr:cNvPr id="64513" name="Drop Dow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50800</xdr:rowOff>
        </xdr:from>
        <xdr:to>
          <xdr:col>3</xdr:col>
          <xdr:colOff>25400</xdr:colOff>
          <xdr:row>8</xdr:row>
          <xdr:rowOff>406400</xdr:rowOff>
        </xdr:to>
        <xdr:sp macro="" textlink="">
          <xdr:nvSpPr>
            <xdr:cNvPr id="64514" name="Drop Dow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5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50800</xdr:rowOff>
        </xdr:from>
        <xdr:to>
          <xdr:col>3</xdr:col>
          <xdr:colOff>25400</xdr:colOff>
          <xdr:row>9</xdr:row>
          <xdr:rowOff>406400</xdr:rowOff>
        </xdr:to>
        <xdr:sp macro="" textlink="">
          <xdr:nvSpPr>
            <xdr:cNvPr id="64515" name="Drop Dow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5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279400</xdr:rowOff>
        </xdr:from>
        <xdr:to>
          <xdr:col>3</xdr:col>
          <xdr:colOff>25400</xdr:colOff>
          <xdr:row>3</xdr:row>
          <xdr:rowOff>355600</xdr:rowOff>
        </xdr:to>
        <xdr:sp macro="" textlink="">
          <xdr:nvSpPr>
            <xdr:cNvPr id="64516" name="Drop Down 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05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</xdr:row>
          <xdr:rowOff>25400</xdr:rowOff>
        </xdr:from>
        <xdr:to>
          <xdr:col>3</xdr:col>
          <xdr:colOff>25400</xdr:colOff>
          <xdr:row>5</xdr:row>
          <xdr:rowOff>0</xdr:rowOff>
        </xdr:to>
        <xdr:sp macro="" textlink="">
          <xdr:nvSpPr>
            <xdr:cNvPr id="64517" name="Drop Down 5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05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38100</xdr:rowOff>
        </xdr:from>
        <xdr:to>
          <xdr:col>3</xdr:col>
          <xdr:colOff>25400</xdr:colOff>
          <xdr:row>5</xdr:row>
          <xdr:rowOff>393700</xdr:rowOff>
        </xdr:to>
        <xdr:sp macro="" textlink="">
          <xdr:nvSpPr>
            <xdr:cNvPr id="64518" name="Drop Down 6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05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219075</xdr:colOff>
      <xdr:row>14</xdr:row>
      <xdr:rowOff>114303</xdr:rowOff>
    </xdr:from>
    <xdr:to>
      <xdr:col>10</xdr:col>
      <xdr:colOff>428625</xdr:colOff>
      <xdr:row>26</xdr:row>
      <xdr:rowOff>180976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16</xdr:row>
          <xdr:rowOff>254000</xdr:rowOff>
        </xdr:from>
        <xdr:to>
          <xdr:col>3</xdr:col>
          <xdr:colOff>25400</xdr:colOff>
          <xdr:row>18</xdr:row>
          <xdr:rowOff>38100</xdr:rowOff>
        </xdr:to>
        <xdr:sp macro="" textlink="">
          <xdr:nvSpPr>
            <xdr:cNvPr id="64519" name="Drop Down 7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05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18</xdr:row>
          <xdr:rowOff>63500</xdr:rowOff>
        </xdr:from>
        <xdr:to>
          <xdr:col>3</xdr:col>
          <xdr:colOff>25400</xdr:colOff>
          <xdr:row>19</xdr:row>
          <xdr:rowOff>63500</xdr:rowOff>
        </xdr:to>
        <xdr:sp macro="" textlink="">
          <xdr:nvSpPr>
            <xdr:cNvPr id="64520" name="Drop Down 8" hidden="1">
              <a:extLst>
                <a:ext uri="{63B3BB69-23CF-44E3-9099-C40C66FF867C}">
                  <a14:compatExt spid="_x0000_s64520"/>
                </a:ext>
                <a:ext uri="{FF2B5EF4-FFF2-40B4-BE49-F238E27FC236}">
                  <a16:creationId xmlns:a16="http://schemas.microsoft.com/office/drawing/2014/main" id="{00000000-0008-0000-0500-00000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19</xdr:row>
          <xdr:rowOff>63500</xdr:rowOff>
        </xdr:from>
        <xdr:to>
          <xdr:col>3</xdr:col>
          <xdr:colOff>25400</xdr:colOff>
          <xdr:row>20</xdr:row>
          <xdr:rowOff>0</xdr:rowOff>
        </xdr:to>
        <xdr:sp macro="" textlink="">
          <xdr:nvSpPr>
            <xdr:cNvPr id="64521" name="Drop Down 9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05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20</xdr:row>
          <xdr:rowOff>63500</xdr:rowOff>
        </xdr:from>
        <xdr:to>
          <xdr:col>3</xdr:col>
          <xdr:colOff>25400</xdr:colOff>
          <xdr:row>21</xdr:row>
          <xdr:rowOff>0</xdr:rowOff>
        </xdr:to>
        <xdr:sp macro="" textlink="">
          <xdr:nvSpPr>
            <xdr:cNvPr id="64522" name="Drop Down 10" hidden="1">
              <a:extLst>
                <a:ext uri="{63B3BB69-23CF-44E3-9099-C40C66FF867C}">
                  <a14:compatExt spid="_x0000_s64522"/>
                </a:ext>
                <a:ext uri="{FF2B5EF4-FFF2-40B4-BE49-F238E27FC236}">
                  <a16:creationId xmlns:a16="http://schemas.microsoft.com/office/drawing/2014/main" id="{00000000-0008-0000-0500-00000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21</xdr:row>
          <xdr:rowOff>63500</xdr:rowOff>
        </xdr:from>
        <xdr:to>
          <xdr:col>3</xdr:col>
          <xdr:colOff>25400</xdr:colOff>
          <xdr:row>22</xdr:row>
          <xdr:rowOff>0</xdr:rowOff>
        </xdr:to>
        <xdr:sp macro="" textlink="">
          <xdr:nvSpPr>
            <xdr:cNvPr id="64523" name="Drop Down 11" hidden="1">
              <a:extLst>
                <a:ext uri="{63B3BB69-23CF-44E3-9099-C40C66FF867C}">
                  <a14:compatExt spid="_x0000_s64523"/>
                </a:ext>
                <a:ext uri="{FF2B5EF4-FFF2-40B4-BE49-F238E27FC236}">
                  <a16:creationId xmlns:a16="http://schemas.microsoft.com/office/drawing/2014/main" id="{00000000-0008-0000-0500-00000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22</xdr:row>
          <xdr:rowOff>63500</xdr:rowOff>
        </xdr:from>
        <xdr:to>
          <xdr:col>3</xdr:col>
          <xdr:colOff>25400</xdr:colOff>
          <xdr:row>22</xdr:row>
          <xdr:rowOff>419100</xdr:rowOff>
        </xdr:to>
        <xdr:sp macro="" textlink="">
          <xdr:nvSpPr>
            <xdr:cNvPr id="64524" name="Drop Down 12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05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23</xdr:row>
          <xdr:rowOff>63500</xdr:rowOff>
        </xdr:from>
        <xdr:to>
          <xdr:col>3</xdr:col>
          <xdr:colOff>25400</xdr:colOff>
          <xdr:row>24</xdr:row>
          <xdr:rowOff>0</xdr:rowOff>
        </xdr:to>
        <xdr:sp macro="" textlink="">
          <xdr:nvSpPr>
            <xdr:cNvPr id="64525" name="Drop Down 13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05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31</xdr:row>
          <xdr:rowOff>12700</xdr:rowOff>
        </xdr:from>
        <xdr:to>
          <xdr:col>3</xdr:col>
          <xdr:colOff>25400</xdr:colOff>
          <xdr:row>31</xdr:row>
          <xdr:rowOff>368300</xdr:rowOff>
        </xdr:to>
        <xdr:sp macro="" textlink="">
          <xdr:nvSpPr>
            <xdr:cNvPr id="64526" name="Drop Down 14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05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12700</xdr:rowOff>
        </xdr:from>
        <xdr:to>
          <xdr:col>3</xdr:col>
          <xdr:colOff>25400</xdr:colOff>
          <xdr:row>32</xdr:row>
          <xdr:rowOff>368300</xdr:rowOff>
        </xdr:to>
        <xdr:sp macro="" textlink="">
          <xdr:nvSpPr>
            <xdr:cNvPr id="64527" name="Drop Down 15" hidden="1">
              <a:extLst>
                <a:ext uri="{63B3BB69-23CF-44E3-9099-C40C66FF867C}">
                  <a14:compatExt spid="_x0000_s64527"/>
                </a:ext>
                <a:ext uri="{FF2B5EF4-FFF2-40B4-BE49-F238E27FC236}">
                  <a16:creationId xmlns:a16="http://schemas.microsoft.com/office/drawing/2014/main" id="{00000000-0008-0000-0500-00000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1</xdr:row>
      <xdr:rowOff>57150</xdr:rowOff>
    </xdr:from>
    <xdr:to>
      <xdr:col>10</xdr:col>
      <xdr:colOff>314325</xdr:colOff>
      <xdr:row>11</xdr:row>
      <xdr:rowOff>3175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10563225" y="450850"/>
          <a:ext cx="5524500" cy="3616325"/>
          <a:chOff x="161925" y="4124325"/>
          <a:chExt cx="5581650" cy="3143250"/>
        </a:xfrm>
      </xdr:grpSpPr>
      <xdr:graphicFrame macro="">
        <xdr:nvGraphicFramePr>
          <xdr:cNvPr id="4" name="Chart 24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GraphicFramePr>
            <a:graphicFrameLocks/>
          </xdr:cNvGraphicFramePr>
        </xdr:nvGraphicFramePr>
        <xdr:xfrm>
          <a:off x="161925" y="4124325"/>
          <a:ext cx="558165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 txBox="1"/>
        </xdr:nvSpPr>
        <xdr:spPr>
          <a:xfrm>
            <a:off x="3943350" y="696277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r"/>
            <a:r>
              <a:rPr lang="en-US" sz="1400" b="0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</a:rPr>
              <a:t>Exploit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 txBox="1"/>
        </xdr:nvSpPr>
        <xdr:spPr>
          <a:xfrm>
            <a:off x="3962400" y="4171950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flat" dir="t">
                <a:rot lat="0" lon="0" rev="18900000"/>
              </a:lightRig>
            </a:scene3d>
            <a:sp3d extrusionH="31750" contourW="6350" prstMaterial="powder">
              <a:bevelT w="19050" h="19050" prst="angle"/>
              <a:contourClr>
                <a:schemeClr val="accent3">
                  <a:tint val="100000"/>
                  <a:shade val="100000"/>
                  <a:satMod val="100000"/>
                  <a:hueMod val="100000"/>
                </a:schemeClr>
              </a:contourClr>
            </a:sp3d>
          </a:bodyPr>
          <a:lstStyle/>
          <a:p>
            <a:pPr algn="r"/>
            <a:r>
              <a:rPr lang="en-US" sz="1400" b="0" cap="none" spc="0">
                <a:ln/>
                <a:solidFill>
                  <a:schemeClr val="accent3"/>
                </a:solidFill>
                <a:effectLst/>
              </a:rPr>
              <a:t>Core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 txBox="1"/>
        </xdr:nvSpPr>
        <xdr:spPr>
          <a:xfrm>
            <a:off x="666750" y="4171950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l"/>
            <a:r>
              <a:rPr lang="en-US" sz="1400" b="0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</a:rPr>
              <a:t>Develop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>
            <a:off x="628650" y="694372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l"/>
            <a:r>
              <a:rPr lang="en-US" sz="1400" b="0" cap="none" spc="50">
                <a:ln w="11430">
                  <a:solidFill>
                    <a:srgbClr val="FF0000"/>
                  </a:solidFill>
                </a:ln>
                <a:solidFill>
                  <a:srgbClr val="FF0000"/>
                </a:soli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</a:rPr>
              <a:t>Nuisance</a:t>
            </a:r>
          </a:p>
        </xdr:txBody>
      </xdr:sp>
    </xdr:grpSp>
    <xdr:clientData/>
  </xdr:twoCellAnchor>
  <xdr:twoCellAnchor>
    <xdr:from>
      <xdr:col>7</xdr:col>
      <xdr:colOff>419100</xdr:colOff>
      <xdr:row>2</xdr:row>
      <xdr:rowOff>123825</xdr:rowOff>
    </xdr:from>
    <xdr:to>
      <xdr:col>7</xdr:col>
      <xdr:colOff>428625</xdr:colOff>
      <xdr:row>9</xdr:row>
      <xdr:rowOff>276225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13347700" y="860425"/>
          <a:ext cx="9525" cy="28956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66675</xdr:colOff>
      <xdr:row>6</xdr:row>
      <xdr:rowOff>104775</xdr:rowOff>
    </xdr:from>
    <xdr:to>
      <xdr:col>9</xdr:col>
      <xdr:colOff>504825</xdr:colOff>
      <xdr:row>6</xdr:row>
      <xdr:rowOff>114300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11102975" y="2301875"/>
          <a:ext cx="4502150" cy="95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12700</xdr:rowOff>
    </xdr:from>
    <xdr:to>
      <xdr:col>1</xdr:col>
      <xdr:colOff>1784350</xdr:colOff>
      <xdr:row>1</xdr:row>
      <xdr:rowOff>41275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0" y="12700"/>
          <a:ext cx="2457450" cy="422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borText" pitchFamily="34" charset="0"/>
              <a:cs typeface="Aharoni" pitchFamily="2" charset="-79"/>
            </a:rPr>
            <a:t>Segmentation360</a:t>
          </a:r>
          <a:endParaRPr lang="en-US" sz="1800" b="1" cap="none" spc="300" baseline="0">
            <a:ln w="11430" cmpd="sng">
              <a:solidFill>
                <a:schemeClr val="accent1">
                  <a:tint val="10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83000"/>
                    <a:shade val="100000"/>
                    <a:satMod val="200000"/>
                  </a:schemeClr>
                </a:gs>
                <a:gs pos="75000">
                  <a:schemeClr val="accent1">
                    <a:tint val="100000"/>
                    <a:shade val="50000"/>
                    <a:satMod val="150000"/>
                  </a:schemeClr>
                </a:gs>
              </a:gsLst>
              <a:lin ang="5400000"/>
            </a:gradFill>
            <a:effectLst>
              <a:glow rad="45500">
                <a:schemeClr val="accent1">
                  <a:satMod val="220000"/>
                  <a:alpha val="35000"/>
                </a:schemeClr>
              </a:glow>
            </a:effectLst>
            <a:latin typeface="ArborText" pitchFamily="34" charset="0"/>
            <a:cs typeface="Aharoni" pitchFamily="2" charset="-79"/>
          </a:endParaRPr>
        </a:p>
      </xdr:txBody>
    </xdr:sp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0.16184</cdr:x>
      <cdr:y>0.87766</cdr:y>
    </cdr:from>
    <cdr:to>
      <cdr:x>0.89608</cdr:x>
      <cdr:y>0.92553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04875" y="4714877"/>
          <a:ext cx="410527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just"/>
          <a:r>
            <a:rPr lang="en-US" sz="1200" b="1"/>
            <a:t>Low Moderate</a:t>
          </a:r>
          <a:r>
            <a:rPr lang="en-US" sz="1200" b="1" baseline="0"/>
            <a:t> High</a:t>
          </a:r>
          <a:br>
            <a:rPr lang="en-US" sz="1200" b="1" baseline="0"/>
          </a:br>
          <a:endParaRPr lang="en-US" sz="1200" b="1"/>
        </a:p>
      </cdr:txBody>
    </cdr:sp>
  </cdr:relSizeAnchor>
  <cdr:relSizeAnchor xmlns:cdr="http://schemas.openxmlformats.org/drawingml/2006/chartDrawing">
    <cdr:from>
      <cdr:x>0.07411</cdr:x>
      <cdr:y>0.17376</cdr:y>
    </cdr:from>
    <cdr:to>
      <cdr:x>0.1201</cdr:x>
      <cdr:y>0.84397</cdr:y>
    </cdr:to>
    <cdr:sp macro="" textlink="">
      <cdr:nvSpPr>
        <cdr:cNvPr id="3" name="TextBox 1"/>
        <cdr:cNvSpPr txBox="1"/>
      </cdr:nvSpPr>
      <cdr:spPr>
        <a:xfrm xmlns:a="http://schemas.openxmlformats.org/drawingml/2006/main" rot="16200000">
          <a:off x="-1257299" y="2605088"/>
          <a:ext cx="3600449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just"/>
          <a:r>
            <a:rPr lang="en-US" sz="1200" b="1"/>
            <a:t>Low Moderate</a:t>
          </a:r>
          <a:r>
            <a:rPr lang="en-US" sz="1200" b="1" baseline="0"/>
            <a:t> High</a:t>
          </a:r>
          <a:br>
            <a:rPr lang="en-US" sz="1200" b="1" baseline="0"/>
          </a:br>
          <a:endParaRPr lang="en-US" sz="1200" b="1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7</xdr:row>
          <xdr:rowOff>76200</xdr:rowOff>
        </xdr:from>
        <xdr:to>
          <xdr:col>3</xdr:col>
          <xdr:colOff>25400</xdr:colOff>
          <xdr:row>8</xdr:row>
          <xdr:rowOff>0</xdr:rowOff>
        </xdr:to>
        <xdr:sp macro="" textlink="">
          <xdr:nvSpPr>
            <xdr:cNvPr id="76801" name="Drop Dow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6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50800</xdr:rowOff>
        </xdr:from>
        <xdr:to>
          <xdr:col>3</xdr:col>
          <xdr:colOff>25400</xdr:colOff>
          <xdr:row>8</xdr:row>
          <xdr:rowOff>406400</xdr:rowOff>
        </xdr:to>
        <xdr:sp macro="" textlink="">
          <xdr:nvSpPr>
            <xdr:cNvPr id="76802" name="Drop Dow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6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50800</xdr:rowOff>
        </xdr:from>
        <xdr:to>
          <xdr:col>3</xdr:col>
          <xdr:colOff>25400</xdr:colOff>
          <xdr:row>9</xdr:row>
          <xdr:rowOff>406400</xdr:rowOff>
        </xdr:to>
        <xdr:sp macro="" textlink="">
          <xdr:nvSpPr>
            <xdr:cNvPr id="76803" name="Drop Dow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6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279400</xdr:rowOff>
        </xdr:from>
        <xdr:to>
          <xdr:col>3</xdr:col>
          <xdr:colOff>25400</xdr:colOff>
          <xdr:row>3</xdr:row>
          <xdr:rowOff>355600</xdr:rowOff>
        </xdr:to>
        <xdr:sp macro="" textlink="">
          <xdr:nvSpPr>
            <xdr:cNvPr id="76804" name="Drop Dow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6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</xdr:row>
          <xdr:rowOff>25400</xdr:rowOff>
        </xdr:from>
        <xdr:to>
          <xdr:col>3</xdr:col>
          <xdr:colOff>25400</xdr:colOff>
          <xdr:row>5</xdr:row>
          <xdr:rowOff>0</xdr:rowOff>
        </xdr:to>
        <xdr:sp macro="" textlink="">
          <xdr:nvSpPr>
            <xdr:cNvPr id="76805" name="Drop Dow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6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38100</xdr:rowOff>
        </xdr:from>
        <xdr:to>
          <xdr:col>3</xdr:col>
          <xdr:colOff>25400</xdr:colOff>
          <xdr:row>5</xdr:row>
          <xdr:rowOff>393700</xdr:rowOff>
        </xdr:to>
        <xdr:sp macro="" textlink="">
          <xdr:nvSpPr>
            <xdr:cNvPr id="76806" name="Drop Dow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6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219075</xdr:colOff>
      <xdr:row>14</xdr:row>
      <xdr:rowOff>114303</xdr:rowOff>
    </xdr:from>
    <xdr:to>
      <xdr:col>10</xdr:col>
      <xdr:colOff>428625</xdr:colOff>
      <xdr:row>26</xdr:row>
      <xdr:rowOff>180976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16</xdr:row>
          <xdr:rowOff>254000</xdr:rowOff>
        </xdr:from>
        <xdr:to>
          <xdr:col>3</xdr:col>
          <xdr:colOff>25400</xdr:colOff>
          <xdr:row>18</xdr:row>
          <xdr:rowOff>38100</xdr:rowOff>
        </xdr:to>
        <xdr:sp macro="" textlink="">
          <xdr:nvSpPr>
            <xdr:cNvPr id="76807" name="Drop Dow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06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18</xdr:row>
          <xdr:rowOff>63500</xdr:rowOff>
        </xdr:from>
        <xdr:to>
          <xdr:col>3</xdr:col>
          <xdr:colOff>25400</xdr:colOff>
          <xdr:row>19</xdr:row>
          <xdr:rowOff>63500</xdr:rowOff>
        </xdr:to>
        <xdr:sp macro="" textlink="">
          <xdr:nvSpPr>
            <xdr:cNvPr id="76808" name="Drop Dow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06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19</xdr:row>
          <xdr:rowOff>63500</xdr:rowOff>
        </xdr:from>
        <xdr:to>
          <xdr:col>3</xdr:col>
          <xdr:colOff>25400</xdr:colOff>
          <xdr:row>20</xdr:row>
          <xdr:rowOff>0</xdr:rowOff>
        </xdr:to>
        <xdr:sp macro="" textlink="">
          <xdr:nvSpPr>
            <xdr:cNvPr id="76809" name="Drop Dow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06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20</xdr:row>
          <xdr:rowOff>63500</xdr:rowOff>
        </xdr:from>
        <xdr:to>
          <xdr:col>3</xdr:col>
          <xdr:colOff>25400</xdr:colOff>
          <xdr:row>21</xdr:row>
          <xdr:rowOff>0</xdr:rowOff>
        </xdr:to>
        <xdr:sp macro="" textlink="">
          <xdr:nvSpPr>
            <xdr:cNvPr id="76810" name="Drop Dow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06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21</xdr:row>
          <xdr:rowOff>63500</xdr:rowOff>
        </xdr:from>
        <xdr:to>
          <xdr:col>3</xdr:col>
          <xdr:colOff>25400</xdr:colOff>
          <xdr:row>22</xdr:row>
          <xdr:rowOff>0</xdr:rowOff>
        </xdr:to>
        <xdr:sp macro="" textlink="">
          <xdr:nvSpPr>
            <xdr:cNvPr id="76811" name="Drop Dow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06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22</xdr:row>
          <xdr:rowOff>63500</xdr:rowOff>
        </xdr:from>
        <xdr:to>
          <xdr:col>3</xdr:col>
          <xdr:colOff>25400</xdr:colOff>
          <xdr:row>22</xdr:row>
          <xdr:rowOff>419100</xdr:rowOff>
        </xdr:to>
        <xdr:sp macro="" textlink="">
          <xdr:nvSpPr>
            <xdr:cNvPr id="76812" name="Drop Dow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06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23</xdr:row>
          <xdr:rowOff>63500</xdr:rowOff>
        </xdr:from>
        <xdr:to>
          <xdr:col>3</xdr:col>
          <xdr:colOff>25400</xdr:colOff>
          <xdr:row>24</xdr:row>
          <xdr:rowOff>0</xdr:rowOff>
        </xdr:to>
        <xdr:sp macro="" textlink="">
          <xdr:nvSpPr>
            <xdr:cNvPr id="76813" name="Drop Down 13" hidden="1">
              <a:extLst>
                <a:ext uri="{63B3BB69-23CF-44E3-9099-C40C66FF867C}">
                  <a14:compatExt spid="_x0000_s76813"/>
                </a:ext>
                <a:ext uri="{FF2B5EF4-FFF2-40B4-BE49-F238E27FC236}">
                  <a16:creationId xmlns:a16="http://schemas.microsoft.com/office/drawing/2014/main" id="{00000000-0008-0000-0600-00000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31</xdr:row>
          <xdr:rowOff>12700</xdr:rowOff>
        </xdr:from>
        <xdr:to>
          <xdr:col>3</xdr:col>
          <xdr:colOff>25400</xdr:colOff>
          <xdr:row>31</xdr:row>
          <xdr:rowOff>368300</xdr:rowOff>
        </xdr:to>
        <xdr:sp macro="" textlink="">
          <xdr:nvSpPr>
            <xdr:cNvPr id="76814" name="Drop Down 14" hidden="1">
              <a:extLst>
                <a:ext uri="{63B3BB69-23CF-44E3-9099-C40C66FF867C}">
                  <a14:compatExt spid="_x0000_s76814"/>
                </a:ext>
                <a:ext uri="{FF2B5EF4-FFF2-40B4-BE49-F238E27FC236}">
                  <a16:creationId xmlns:a16="http://schemas.microsoft.com/office/drawing/2014/main" id="{00000000-0008-0000-0600-00000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12700</xdr:rowOff>
        </xdr:from>
        <xdr:to>
          <xdr:col>3</xdr:col>
          <xdr:colOff>25400</xdr:colOff>
          <xdr:row>32</xdr:row>
          <xdr:rowOff>368300</xdr:rowOff>
        </xdr:to>
        <xdr:sp macro="" textlink="">
          <xdr:nvSpPr>
            <xdr:cNvPr id="76815" name="Drop Down 15" hidden="1">
              <a:extLst>
                <a:ext uri="{63B3BB69-23CF-44E3-9099-C40C66FF867C}">
                  <a14:compatExt spid="_x0000_s76815"/>
                </a:ext>
                <a:ext uri="{FF2B5EF4-FFF2-40B4-BE49-F238E27FC236}">
                  <a16:creationId xmlns:a16="http://schemas.microsoft.com/office/drawing/2014/main" id="{00000000-0008-0000-0600-00000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1</xdr:row>
      <xdr:rowOff>57150</xdr:rowOff>
    </xdr:from>
    <xdr:to>
      <xdr:col>10</xdr:col>
      <xdr:colOff>314325</xdr:colOff>
      <xdr:row>11</xdr:row>
      <xdr:rowOff>3175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10563225" y="450850"/>
          <a:ext cx="5524500" cy="3616325"/>
          <a:chOff x="161925" y="4124325"/>
          <a:chExt cx="5581650" cy="3143250"/>
        </a:xfrm>
      </xdr:grpSpPr>
      <xdr:graphicFrame macro="">
        <xdr:nvGraphicFramePr>
          <xdr:cNvPr id="4" name="Chart 24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GraphicFramePr>
            <a:graphicFrameLocks/>
          </xdr:cNvGraphicFramePr>
        </xdr:nvGraphicFramePr>
        <xdr:xfrm>
          <a:off x="161925" y="4124325"/>
          <a:ext cx="558165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 txBox="1"/>
        </xdr:nvSpPr>
        <xdr:spPr>
          <a:xfrm>
            <a:off x="3943350" y="696277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r"/>
            <a:r>
              <a:rPr lang="en-US" sz="1400" b="0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</a:rPr>
              <a:t>Exploit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3962400" y="4171950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flat" dir="t">
                <a:rot lat="0" lon="0" rev="18900000"/>
              </a:lightRig>
            </a:scene3d>
            <a:sp3d extrusionH="31750" contourW="6350" prstMaterial="powder">
              <a:bevelT w="19050" h="19050" prst="angle"/>
              <a:contourClr>
                <a:schemeClr val="accent3">
                  <a:tint val="100000"/>
                  <a:shade val="100000"/>
                  <a:satMod val="100000"/>
                  <a:hueMod val="100000"/>
                </a:schemeClr>
              </a:contourClr>
            </a:sp3d>
          </a:bodyPr>
          <a:lstStyle/>
          <a:p>
            <a:pPr algn="r"/>
            <a:r>
              <a:rPr lang="en-US" sz="1400" b="0" cap="none" spc="0">
                <a:ln/>
                <a:solidFill>
                  <a:schemeClr val="accent3"/>
                </a:solidFill>
                <a:effectLst/>
              </a:rPr>
              <a:t>Core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 txBox="1"/>
        </xdr:nvSpPr>
        <xdr:spPr>
          <a:xfrm>
            <a:off x="666750" y="4171950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l"/>
            <a:r>
              <a:rPr lang="en-US" sz="1400" b="0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</a:rPr>
              <a:t>Develop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 txBox="1"/>
        </xdr:nvSpPr>
        <xdr:spPr>
          <a:xfrm>
            <a:off x="628650" y="694372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l"/>
            <a:r>
              <a:rPr lang="en-US" sz="1400" b="0" cap="none" spc="50">
                <a:ln w="11430">
                  <a:solidFill>
                    <a:srgbClr val="FF0000"/>
                  </a:solidFill>
                </a:ln>
                <a:solidFill>
                  <a:srgbClr val="FF0000"/>
                </a:soli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</a:rPr>
              <a:t>Nuisance</a:t>
            </a:r>
          </a:p>
        </xdr:txBody>
      </xdr:sp>
    </xdr:grpSp>
    <xdr:clientData/>
  </xdr:twoCellAnchor>
  <xdr:twoCellAnchor>
    <xdr:from>
      <xdr:col>7</xdr:col>
      <xdr:colOff>419100</xdr:colOff>
      <xdr:row>2</xdr:row>
      <xdr:rowOff>123825</xdr:rowOff>
    </xdr:from>
    <xdr:to>
      <xdr:col>7</xdr:col>
      <xdr:colOff>428625</xdr:colOff>
      <xdr:row>9</xdr:row>
      <xdr:rowOff>276225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CxnSpPr/>
      </xdr:nvCxnSpPr>
      <xdr:spPr>
        <a:xfrm>
          <a:off x="13347700" y="860425"/>
          <a:ext cx="9525" cy="28956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66675</xdr:colOff>
      <xdr:row>6</xdr:row>
      <xdr:rowOff>104775</xdr:rowOff>
    </xdr:from>
    <xdr:to>
      <xdr:col>9</xdr:col>
      <xdr:colOff>504825</xdr:colOff>
      <xdr:row>6</xdr:row>
      <xdr:rowOff>114300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>
          <a:off x="11102975" y="2301875"/>
          <a:ext cx="4502150" cy="95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1784350</xdr:colOff>
      <xdr:row>1</xdr:row>
      <xdr:rowOff>28575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0" y="0"/>
          <a:ext cx="2457450" cy="422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borText" pitchFamily="34" charset="0"/>
              <a:cs typeface="Aharoni" pitchFamily="2" charset="-79"/>
            </a:rPr>
            <a:t>Segmentation360</a:t>
          </a:r>
          <a:endParaRPr lang="en-US" sz="1800" b="1" cap="none" spc="300" baseline="0">
            <a:ln w="11430" cmpd="sng">
              <a:solidFill>
                <a:schemeClr val="accent1">
                  <a:tint val="10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83000"/>
                    <a:shade val="100000"/>
                    <a:satMod val="200000"/>
                  </a:schemeClr>
                </a:gs>
                <a:gs pos="75000">
                  <a:schemeClr val="accent1">
                    <a:tint val="100000"/>
                    <a:shade val="50000"/>
                    <a:satMod val="150000"/>
                  </a:schemeClr>
                </a:gs>
              </a:gsLst>
              <a:lin ang="5400000"/>
            </a:gradFill>
            <a:effectLst>
              <a:glow rad="45500">
                <a:schemeClr val="accent1">
                  <a:satMod val="220000"/>
                  <a:alpha val="35000"/>
                </a:schemeClr>
              </a:glow>
            </a:effectLst>
            <a:latin typeface="ArborText" pitchFamily="34" charset="0"/>
            <a:cs typeface="Aharoni" pitchFamily="2" charset="-79"/>
          </a:endParaRPr>
        </a:p>
      </xdr:txBody>
    </xdr:sp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0.16184</cdr:x>
      <cdr:y>0.87766</cdr:y>
    </cdr:from>
    <cdr:to>
      <cdr:x>0.89608</cdr:x>
      <cdr:y>0.92553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04875" y="4714877"/>
          <a:ext cx="410527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just"/>
          <a:r>
            <a:rPr lang="en-US" sz="1200" b="1"/>
            <a:t>Low Moderate</a:t>
          </a:r>
          <a:r>
            <a:rPr lang="en-US" sz="1200" b="1" baseline="0"/>
            <a:t> High</a:t>
          </a:r>
          <a:br>
            <a:rPr lang="en-US" sz="1200" b="1" baseline="0"/>
          </a:br>
          <a:endParaRPr lang="en-US" sz="1200" b="1"/>
        </a:p>
      </cdr:txBody>
    </cdr:sp>
  </cdr:relSizeAnchor>
  <cdr:relSizeAnchor xmlns:cdr="http://schemas.openxmlformats.org/drawingml/2006/chartDrawing">
    <cdr:from>
      <cdr:x>0.07411</cdr:x>
      <cdr:y>0.17376</cdr:y>
    </cdr:from>
    <cdr:to>
      <cdr:x>0.1201</cdr:x>
      <cdr:y>0.84397</cdr:y>
    </cdr:to>
    <cdr:sp macro="" textlink="">
      <cdr:nvSpPr>
        <cdr:cNvPr id="3" name="TextBox 1"/>
        <cdr:cNvSpPr txBox="1"/>
      </cdr:nvSpPr>
      <cdr:spPr>
        <a:xfrm xmlns:a="http://schemas.openxmlformats.org/drawingml/2006/main" rot="16200000">
          <a:off x="-1257299" y="2605088"/>
          <a:ext cx="3600449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just"/>
          <a:r>
            <a:rPr lang="en-US" sz="1200" b="1"/>
            <a:t>Low Moderate</a:t>
          </a:r>
          <a:r>
            <a:rPr lang="en-US" sz="1200" b="1" baseline="0"/>
            <a:t> High</a:t>
          </a:r>
          <a:br>
            <a:rPr lang="en-US" sz="1200" b="1" baseline="0"/>
          </a:br>
          <a:endParaRPr lang="en-US" sz="1200" b="1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7</xdr:row>
          <xdr:rowOff>76200</xdr:rowOff>
        </xdr:from>
        <xdr:to>
          <xdr:col>3</xdr:col>
          <xdr:colOff>25400</xdr:colOff>
          <xdr:row>7</xdr:row>
          <xdr:rowOff>444500</xdr:rowOff>
        </xdr:to>
        <xdr:sp macro="" textlink="">
          <xdr:nvSpPr>
            <xdr:cNvPr id="53249" name="Drop Dow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7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50800</xdr:rowOff>
        </xdr:from>
        <xdr:to>
          <xdr:col>3</xdr:col>
          <xdr:colOff>25400</xdr:colOff>
          <xdr:row>8</xdr:row>
          <xdr:rowOff>406400</xdr:rowOff>
        </xdr:to>
        <xdr:sp macro="" textlink="">
          <xdr:nvSpPr>
            <xdr:cNvPr id="53250" name="Drop Dow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7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50800</xdr:rowOff>
        </xdr:from>
        <xdr:to>
          <xdr:col>3</xdr:col>
          <xdr:colOff>25400</xdr:colOff>
          <xdr:row>9</xdr:row>
          <xdr:rowOff>406400</xdr:rowOff>
        </xdr:to>
        <xdr:sp macro="" textlink="">
          <xdr:nvSpPr>
            <xdr:cNvPr id="53251" name="Drop Dow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7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279400</xdr:rowOff>
        </xdr:from>
        <xdr:to>
          <xdr:col>3</xdr:col>
          <xdr:colOff>25400</xdr:colOff>
          <xdr:row>3</xdr:row>
          <xdr:rowOff>355600</xdr:rowOff>
        </xdr:to>
        <xdr:sp macro="" textlink="">
          <xdr:nvSpPr>
            <xdr:cNvPr id="53253" name="Drop Dow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7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</xdr:row>
          <xdr:rowOff>25400</xdr:rowOff>
        </xdr:from>
        <xdr:to>
          <xdr:col>3</xdr:col>
          <xdr:colOff>25400</xdr:colOff>
          <xdr:row>4</xdr:row>
          <xdr:rowOff>393700</xdr:rowOff>
        </xdr:to>
        <xdr:sp macro="" textlink="">
          <xdr:nvSpPr>
            <xdr:cNvPr id="53254" name="Drop Dow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7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38100</xdr:rowOff>
        </xdr:from>
        <xdr:to>
          <xdr:col>3</xdr:col>
          <xdr:colOff>25400</xdr:colOff>
          <xdr:row>5</xdr:row>
          <xdr:rowOff>393700</xdr:rowOff>
        </xdr:to>
        <xdr:sp macro="" textlink="">
          <xdr:nvSpPr>
            <xdr:cNvPr id="53255" name="Drop Dow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7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219075</xdr:colOff>
      <xdr:row>14</xdr:row>
      <xdr:rowOff>114303</xdr:rowOff>
    </xdr:from>
    <xdr:to>
      <xdr:col>10</xdr:col>
      <xdr:colOff>428625</xdr:colOff>
      <xdr:row>26</xdr:row>
      <xdr:rowOff>180976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16</xdr:row>
          <xdr:rowOff>254000</xdr:rowOff>
        </xdr:from>
        <xdr:to>
          <xdr:col>3</xdr:col>
          <xdr:colOff>25400</xdr:colOff>
          <xdr:row>18</xdr:row>
          <xdr:rowOff>12700</xdr:rowOff>
        </xdr:to>
        <xdr:sp macro="" textlink="">
          <xdr:nvSpPr>
            <xdr:cNvPr id="53263" name="Drop Dow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7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18</xdr:row>
          <xdr:rowOff>63500</xdr:rowOff>
        </xdr:from>
        <xdr:to>
          <xdr:col>3</xdr:col>
          <xdr:colOff>25400</xdr:colOff>
          <xdr:row>19</xdr:row>
          <xdr:rowOff>63500</xdr:rowOff>
        </xdr:to>
        <xdr:sp macro="" textlink="">
          <xdr:nvSpPr>
            <xdr:cNvPr id="53264" name="Drop Dow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7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19</xdr:row>
          <xdr:rowOff>63500</xdr:rowOff>
        </xdr:from>
        <xdr:to>
          <xdr:col>3</xdr:col>
          <xdr:colOff>25400</xdr:colOff>
          <xdr:row>19</xdr:row>
          <xdr:rowOff>431800</xdr:rowOff>
        </xdr:to>
        <xdr:sp macro="" textlink="">
          <xdr:nvSpPr>
            <xdr:cNvPr id="53265" name="Drop Dow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7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20</xdr:row>
          <xdr:rowOff>63500</xdr:rowOff>
        </xdr:from>
        <xdr:to>
          <xdr:col>3</xdr:col>
          <xdr:colOff>25400</xdr:colOff>
          <xdr:row>20</xdr:row>
          <xdr:rowOff>431800</xdr:rowOff>
        </xdr:to>
        <xdr:sp macro="" textlink="">
          <xdr:nvSpPr>
            <xdr:cNvPr id="53266" name="Drop Dow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7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21</xdr:row>
          <xdr:rowOff>63500</xdr:rowOff>
        </xdr:from>
        <xdr:to>
          <xdr:col>3</xdr:col>
          <xdr:colOff>25400</xdr:colOff>
          <xdr:row>21</xdr:row>
          <xdr:rowOff>431800</xdr:rowOff>
        </xdr:to>
        <xdr:sp macro="" textlink="">
          <xdr:nvSpPr>
            <xdr:cNvPr id="53267" name="Drop Dow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7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22</xdr:row>
          <xdr:rowOff>63500</xdr:rowOff>
        </xdr:from>
        <xdr:to>
          <xdr:col>3</xdr:col>
          <xdr:colOff>25400</xdr:colOff>
          <xdr:row>22</xdr:row>
          <xdr:rowOff>419100</xdr:rowOff>
        </xdr:to>
        <xdr:sp macro="" textlink="">
          <xdr:nvSpPr>
            <xdr:cNvPr id="53268" name="Drop Dow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7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23</xdr:row>
          <xdr:rowOff>63500</xdr:rowOff>
        </xdr:from>
        <xdr:to>
          <xdr:col>3</xdr:col>
          <xdr:colOff>25400</xdr:colOff>
          <xdr:row>23</xdr:row>
          <xdr:rowOff>431800</xdr:rowOff>
        </xdr:to>
        <xdr:sp macro="" textlink="">
          <xdr:nvSpPr>
            <xdr:cNvPr id="53269" name="Drop Dow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7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31</xdr:row>
          <xdr:rowOff>12700</xdr:rowOff>
        </xdr:from>
        <xdr:to>
          <xdr:col>3</xdr:col>
          <xdr:colOff>25400</xdr:colOff>
          <xdr:row>31</xdr:row>
          <xdr:rowOff>368300</xdr:rowOff>
        </xdr:to>
        <xdr:sp macro="" textlink="">
          <xdr:nvSpPr>
            <xdr:cNvPr id="53273" name="Drop Dow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7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12700</xdr:rowOff>
        </xdr:from>
        <xdr:to>
          <xdr:col>3</xdr:col>
          <xdr:colOff>25400</xdr:colOff>
          <xdr:row>32</xdr:row>
          <xdr:rowOff>368300</xdr:rowOff>
        </xdr:to>
        <xdr:sp macro="" textlink="">
          <xdr:nvSpPr>
            <xdr:cNvPr id="53275" name="Drop Dow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7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1</xdr:row>
      <xdr:rowOff>57150</xdr:rowOff>
    </xdr:from>
    <xdr:to>
      <xdr:col>10</xdr:col>
      <xdr:colOff>314325</xdr:colOff>
      <xdr:row>10</xdr:row>
      <xdr:rowOff>219075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GrpSpPr/>
      </xdr:nvGrpSpPr>
      <xdr:grpSpPr>
        <a:xfrm>
          <a:off x="10563225" y="450850"/>
          <a:ext cx="5524500" cy="3654425"/>
          <a:chOff x="161925" y="4124325"/>
          <a:chExt cx="5581650" cy="3143250"/>
        </a:xfrm>
      </xdr:grpSpPr>
      <xdr:graphicFrame macro="">
        <xdr:nvGraphicFramePr>
          <xdr:cNvPr id="33" name="Chart 24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GraphicFramePr>
            <a:graphicFrameLocks/>
          </xdr:cNvGraphicFramePr>
        </xdr:nvGraphicFramePr>
        <xdr:xfrm>
          <a:off x="161925" y="4124325"/>
          <a:ext cx="558165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 txBox="1"/>
        </xdr:nvSpPr>
        <xdr:spPr>
          <a:xfrm>
            <a:off x="3943350" y="696277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r"/>
            <a:r>
              <a:rPr lang="en-US" sz="1400" b="0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</a:rPr>
              <a:t>Exploit</a:t>
            </a: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SpPr txBox="1"/>
        </xdr:nvSpPr>
        <xdr:spPr>
          <a:xfrm>
            <a:off x="3962400" y="4171950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flat" dir="t">
                <a:rot lat="0" lon="0" rev="18900000"/>
              </a:lightRig>
            </a:scene3d>
            <a:sp3d extrusionH="31750" contourW="6350" prstMaterial="powder">
              <a:bevelT w="19050" h="19050" prst="angle"/>
              <a:contourClr>
                <a:schemeClr val="accent3">
                  <a:tint val="100000"/>
                  <a:shade val="100000"/>
                  <a:satMod val="100000"/>
                  <a:hueMod val="100000"/>
                </a:schemeClr>
              </a:contourClr>
            </a:sp3d>
          </a:bodyPr>
          <a:lstStyle/>
          <a:p>
            <a:pPr algn="r"/>
            <a:r>
              <a:rPr lang="en-US" sz="1400" b="0" cap="none" spc="0">
                <a:ln/>
                <a:solidFill>
                  <a:schemeClr val="accent3"/>
                </a:solidFill>
                <a:effectLst/>
              </a:rPr>
              <a:t>Core</a:t>
            </a:r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 txBox="1"/>
        </xdr:nvSpPr>
        <xdr:spPr>
          <a:xfrm>
            <a:off x="666750" y="4171950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l"/>
            <a:r>
              <a:rPr lang="en-US" sz="1400" b="0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</a:rPr>
              <a:t>Develop</a:t>
            </a:r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SpPr txBox="1"/>
        </xdr:nvSpPr>
        <xdr:spPr>
          <a:xfrm>
            <a:off x="628650" y="6943725"/>
            <a:ext cx="13335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l"/>
            <a:r>
              <a:rPr lang="en-US" sz="1400" b="0" cap="none" spc="50">
                <a:ln w="11430">
                  <a:solidFill>
                    <a:srgbClr val="FF0000"/>
                  </a:solidFill>
                </a:ln>
                <a:solidFill>
                  <a:srgbClr val="FF0000"/>
                </a:soli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</a:rPr>
              <a:t>Nuisance</a:t>
            </a:r>
          </a:p>
        </xdr:txBody>
      </xdr:sp>
    </xdr:grpSp>
    <xdr:clientData/>
  </xdr:twoCellAnchor>
  <xdr:twoCellAnchor>
    <xdr:from>
      <xdr:col>7</xdr:col>
      <xdr:colOff>419100</xdr:colOff>
      <xdr:row>2</xdr:row>
      <xdr:rowOff>123825</xdr:rowOff>
    </xdr:from>
    <xdr:to>
      <xdr:col>7</xdr:col>
      <xdr:colOff>428625</xdr:colOff>
      <xdr:row>9</xdr:row>
      <xdr:rowOff>276225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CxnSpPr/>
      </xdr:nvCxnSpPr>
      <xdr:spPr>
        <a:xfrm>
          <a:off x="13392150" y="866775"/>
          <a:ext cx="9525" cy="29241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66675</xdr:colOff>
      <xdr:row>6</xdr:row>
      <xdr:rowOff>104775</xdr:rowOff>
    </xdr:from>
    <xdr:to>
      <xdr:col>9</xdr:col>
      <xdr:colOff>504825</xdr:colOff>
      <xdr:row>6</xdr:row>
      <xdr:rowOff>114300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11106150" y="2333625"/>
          <a:ext cx="4505325" cy="95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104775</xdr:colOff>
      <xdr:row>0</xdr:row>
      <xdr:rowOff>9526</xdr:rowOff>
    </xdr:from>
    <xdr:to>
      <xdr:col>1</xdr:col>
      <xdr:colOff>257175</xdr:colOff>
      <xdr:row>0</xdr:row>
      <xdr:rowOff>387034</xdr:rowOff>
    </xdr:to>
    <xdr:pic>
      <xdr:nvPicPr>
        <xdr:cNvPr id="38" name="Picture 37" descr="Image result for at&amp;t png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9526"/>
          <a:ext cx="828675" cy="3775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523875</xdr:colOff>
      <xdr:row>0</xdr:row>
      <xdr:rowOff>0</xdr:rowOff>
    </xdr:from>
    <xdr:to>
      <xdr:col>1</xdr:col>
      <xdr:colOff>2981325</xdr:colOff>
      <xdr:row>1</xdr:row>
      <xdr:rowOff>28575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 txBox="1"/>
      </xdr:nvSpPr>
      <xdr:spPr>
        <a:xfrm>
          <a:off x="1200150" y="0"/>
          <a:ext cx="2457450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borText" pitchFamily="34" charset="0"/>
              <a:cs typeface="Aharoni" pitchFamily="2" charset="-79"/>
            </a:rPr>
            <a:t>Segmentation360</a:t>
          </a:r>
          <a:endParaRPr lang="en-US" sz="1800" b="1" cap="none" spc="300" baseline="0">
            <a:ln w="11430" cmpd="sng">
              <a:solidFill>
                <a:schemeClr val="accent1">
                  <a:tint val="10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83000"/>
                    <a:shade val="100000"/>
                    <a:satMod val="200000"/>
                  </a:schemeClr>
                </a:gs>
                <a:gs pos="75000">
                  <a:schemeClr val="accent1">
                    <a:tint val="100000"/>
                    <a:shade val="50000"/>
                    <a:satMod val="150000"/>
                  </a:schemeClr>
                </a:gs>
              </a:gsLst>
              <a:lin ang="5400000"/>
            </a:gradFill>
            <a:effectLst>
              <a:glow rad="45500">
                <a:schemeClr val="accent1">
                  <a:satMod val="220000"/>
                  <a:alpha val="35000"/>
                </a:schemeClr>
              </a:glow>
            </a:effectLst>
            <a:latin typeface="ArborText" pitchFamily="34" charset="0"/>
            <a:cs typeface="Aharoni" pitchFamily="2" charset="-79"/>
          </a:endParaRPr>
        </a:p>
      </xdr:txBody>
    </xdr:sp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0.16184</cdr:x>
      <cdr:y>0.87766</cdr:y>
    </cdr:from>
    <cdr:to>
      <cdr:x>0.89608</cdr:x>
      <cdr:y>0.92553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04875" y="4714877"/>
          <a:ext cx="410527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just"/>
          <a:r>
            <a:rPr lang="en-US" sz="1200" b="1"/>
            <a:t>Low Moderate</a:t>
          </a:r>
          <a:r>
            <a:rPr lang="en-US" sz="1200" b="1" baseline="0"/>
            <a:t> High</a:t>
          </a:r>
          <a:br>
            <a:rPr lang="en-US" sz="1200" b="1" baseline="0"/>
          </a:br>
          <a:endParaRPr lang="en-US" sz="1200" b="1"/>
        </a:p>
      </cdr:txBody>
    </cdr:sp>
  </cdr:relSizeAnchor>
  <cdr:relSizeAnchor xmlns:cdr="http://schemas.openxmlformats.org/drawingml/2006/chartDrawing">
    <cdr:from>
      <cdr:x>0.07411</cdr:x>
      <cdr:y>0.17376</cdr:y>
    </cdr:from>
    <cdr:to>
      <cdr:x>0.1201</cdr:x>
      <cdr:y>0.84397</cdr:y>
    </cdr:to>
    <cdr:sp macro="" textlink="">
      <cdr:nvSpPr>
        <cdr:cNvPr id="3" name="TextBox 1"/>
        <cdr:cNvSpPr txBox="1"/>
      </cdr:nvSpPr>
      <cdr:spPr>
        <a:xfrm xmlns:a="http://schemas.openxmlformats.org/drawingml/2006/main" rot="16200000">
          <a:off x="-1257299" y="2605088"/>
          <a:ext cx="3600449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just"/>
          <a:r>
            <a:rPr lang="en-US" sz="1200" b="1"/>
            <a:t>Low Moderate</a:t>
          </a:r>
          <a:r>
            <a:rPr lang="en-US" sz="1200" b="1" baseline="0"/>
            <a:t> High</a:t>
          </a:r>
          <a:br>
            <a:rPr lang="en-US" sz="1200" b="1" baseline="0"/>
          </a:br>
          <a:endParaRPr lang="en-US" sz="12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13" Type="http://schemas.openxmlformats.org/officeDocument/2006/relationships/ctrlProp" Target="../ctrlProps/ctrlProp33.xml"/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12" Type="http://schemas.openxmlformats.org/officeDocument/2006/relationships/ctrlProp" Target="../ctrlProps/ctrlProp32.xml"/><Relationship Id="rId17" Type="http://schemas.openxmlformats.org/officeDocument/2006/relationships/ctrlProp" Target="../ctrlProps/ctrlProp37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36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5" Type="http://schemas.openxmlformats.org/officeDocument/2006/relationships/ctrlProp" Target="../ctrlProps/ctrlProp25.xml"/><Relationship Id="rId15" Type="http://schemas.openxmlformats.org/officeDocument/2006/relationships/ctrlProp" Target="../ctrlProps/ctrlProp3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Relationship Id="rId14" Type="http://schemas.openxmlformats.org/officeDocument/2006/relationships/ctrlProp" Target="../ctrlProps/ctrlProp3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13" Type="http://schemas.openxmlformats.org/officeDocument/2006/relationships/ctrlProp" Target="../ctrlProps/ctrlProp48.xml"/><Relationship Id="rId3" Type="http://schemas.openxmlformats.org/officeDocument/2006/relationships/ctrlProp" Target="../ctrlProps/ctrlProp38.xml"/><Relationship Id="rId7" Type="http://schemas.openxmlformats.org/officeDocument/2006/relationships/ctrlProp" Target="../ctrlProps/ctrlProp42.xml"/><Relationship Id="rId12" Type="http://schemas.openxmlformats.org/officeDocument/2006/relationships/ctrlProp" Target="../ctrlProps/ctrlProp47.xml"/><Relationship Id="rId17" Type="http://schemas.openxmlformats.org/officeDocument/2006/relationships/ctrlProp" Target="../ctrlProps/ctrlProp52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51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5" Type="http://schemas.openxmlformats.org/officeDocument/2006/relationships/ctrlProp" Target="../ctrlProps/ctrlProp40.xml"/><Relationship Id="rId15" Type="http://schemas.openxmlformats.org/officeDocument/2006/relationships/ctrlProp" Target="../ctrlProps/ctrlProp50.xml"/><Relationship Id="rId10" Type="http://schemas.openxmlformats.org/officeDocument/2006/relationships/ctrlProp" Target="../ctrlProps/ctrlProp45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Relationship Id="rId1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3" Type="http://schemas.openxmlformats.org/officeDocument/2006/relationships/ctrlProp" Target="../ctrlProps/ctrlProp53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66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3" Type="http://schemas.openxmlformats.org/officeDocument/2006/relationships/ctrlProp" Target="../ctrlProps/ctrlProp68.x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17" Type="http://schemas.openxmlformats.org/officeDocument/2006/relationships/ctrlProp" Target="../ctrlProps/ctrlProp82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81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5" Type="http://schemas.openxmlformats.org/officeDocument/2006/relationships/ctrlProp" Target="../ctrlProps/ctrlProp80.xml"/><Relationship Id="rId10" Type="http://schemas.openxmlformats.org/officeDocument/2006/relationships/ctrlProp" Target="../ctrlProps/ctrlProp75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Relationship Id="rId14" Type="http://schemas.openxmlformats.org/officeDocument/2006/relationships/ctrlProp" Target="../ctrlProps/ctrlProp7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8.xml"/><Relationship Id="rId13" Type="http://schemas.openxmlformats.org/officeDocument/2006/relationships/ctrlProp" Target="../ctrlProps/ctrlProp93.xml"/><Relationship Id="rId3" Type="http://schemas.openxmlformats.org/officeDocument/2006/relationships/ctrlProp" Target="../ctrlProps/ctrlProp83.xml"/><Relationship Id="rId7" Type="http://schemas.openxmlformats.org/officeDocument/2006/relationships/ctrlProp" Target="../ctrlProps/ctrlProp87.xml"/><Relationship Id="rId12" Type="http://schemas.openxmlformats.org/officeDocument/2006/relationships/ctrlProp" Target="../ctrlProps/ctrlProp92.xml"/><Relationship Id="rId17" Type="http://schemas.openxmlformats.org/officeDocument/2006/relationships/ctrlProp" Target="../ctrlProps/ctrlProp97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96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86.xml"/><Relationship Id="rId11" Type="http://schemas.openxmlformats.org/officeDocument/2006/relationships/ctrlProp" Target="../ctrlProps/ctrlProp91.xml"/><Relationship Id="rId5" Type="http://schemas.openxmlformats.org/officeDocument/2006/relationships/ctrlProp" Target="../ctrlProps/ctrlProp85.xml"/><Relationship Id="rId15" Type="http://schemas.openxmlformats.org/officeDocument/2006/relationships/ctrlProp" Target="../ctrlProps/ctrlProp95.xml"/><Relationship Id="rId10" Type="http://schemas.openxmlformats.org/officeDocument/2006/relationships/ctrlProp" Target="../ctrlProps/ctrlProp90.xml"/><Relationship Id="rId4" Type="http://schemas.openxmlformats.org/officeDocument/2006/relationships/ctrlProp" Target="../ctrlProps/ctrlProp84.xml"/><Relationship Id="rId9" Type="http://schemas.openxmlformats.org/officeDocument/2006/relationships/ctrlProp" Target="../ctrlProps/ctrlProp89.xml"/><Relationship Id="rId14" Type="http://schemas.openxmlformats.org/officeDocument/2006/relationships/ctrlProp" Target="../ctrlProps/ctrlProp9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1:Z101"/>
  <sheetViews>
    <sheetView showGridLines="0" zoomScale="91" workbookViewId="0">
      <selection activeCell="T30" sqref="T30"/>
    </sheetView>
  </sheetViews>
  <sheetFormatPr baseColWidth="10" defaultColWidth="8.83203125" defaultRowHeight="14" x14ac:dyDescent="0.15"/>
  <cols>
    <col min="1" max="1" width="3.5" style="93" customWidth="1"/>
    <col min="2" max="17" width="8.83203125" style="93"/>
    <col min="18" max="18" width="10.1640625" style="93" bestFit="1" customWidth="1"/>
    <col min="19" max="19" width="14.6640625" style="93" bestFit="1" customWidth="1"/>
    <col min="20" max="16384" width="8.83203125" style="93"/>
  </cols>
  <sheetData>
    <row r="1" spans="2:26" ht="41.25" customHeight="1" x14ac:dyDescent="0.15"/>
    <row r="2" spans="2:26" s="94" customFormat="1" ht="27.75" customHeight="1" x14ac:dyDescent="0.15"/>
    <row r="3" spans="2:26" ht="9" customHeight="1" x14ac:dyDescent="0.15"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</row>
    <row r="4" spans="2:26" ht="4.5" customHeight="1" x14ac:dyDescent="0.15"/>
    <row r="5" spans="2:26" ht="6.75" customHeight="1" x14ac:dyDescent="0.15">
      <c r="Z5" s="1"/>
    </row>
    <row r="6" spans="2:26" x14ac:dyDescent="0.15">
      <c r="Z6" s="1"/>
    </row>
    <row r="7" spans="2:26" x14ac:dyDescent="0.15">
      <c r="Z7" s="1"/>
    </row>
    <row r="8" spans="2:26" x14ac:dyDescent="0.15">
      <c r="Z8" s="1"/>
    </row>
    <row r="9" spans="2:26" x14ac:dyDescent="0.15">
      <c r="Z9" s="1"/>
    </row>
    <row r="10" spans="2:26" x14ac:dyDescent="0.15">
      <c r="Z10" s="1"/>
    </row>
    <row r="11" spans="2:26" x14ac:dyDescent="0.15">
      <c r="Z11" s="1"/>
    </row>
    <row r="30" spans="10:17" x14ac:dyDescent="0.15">
      <c r="M30" s="95"/>
      <c r="N30" s="95"/>
      <c r="O30" s="95"/>
    </row>
    <row r="31" spans="10:17" ht="16" x14ac:dyDescent="0.2">
      <c r="J31" s="68"/>
      <c r="K31" s="68"/>
      <c r="L31" s="68"/>
      <c r="M31" s="68"/>
      <c r="N31" s="68"/>
      <c r="O31" s="68"/>
      <c r="P31" s="68"/>
      <c r="Q31" s="68"/>
    </row>
    <row r="32" spans="10:17" ht="16" x14ac:dyDescent="0.2">
      <c r="J32" s="68"/>
      <c r="K32" s="68"/>
      <c r="L32" s="68"/>
      <c r="M32" s="68"/>
      <c r="N32" s="68"/>
      <c r="O32" s="68"/>
      <c r="P32" s="68"/>
      <c r="Q32" s="68"/>
    </row>
    <row r="33" spans="10:17" ht="16" x14ac:dyDescent="0.2">
      <c r="J33" s="68"/>
      <c r="K33" s="68"/>
      <c r="L33" s="68"/>
      <c r="M33" s="68"/>
      <c r="N33" s="68"/>
      <c r="O33" s="68"/>
      <c r="P33" s="68"/>
      <c r="Q33" s="68"/>
    </row>
    <row r="34" spans="10:17" ht="16" x14ac:dyDescent="0.2">
      <c r="J34" s="68"/>
      <c r="K34" s="68"/>
      <c r="L34" s="68"/>
      <c r="M34" s="68"/>
      <c r="N34" s="68"/>
      <c r="O34" s="68"/>
      <c r="P34" s="68"/>
      <c r="Q34" s="68"/>
    </row>
    <row r="35" spans="10:17" ht="16" x14ac:dyDescent="0.2">
      <c r="J35" s="68"/>
      <c r="K35" s="68"/>
      <c r="L35" s="68"/>
      <c r="M35" s="68"/>
      <c r="N35" s="68"/>
      <c r="O35" s="68"/>
      <c r="P35" s="68"/>
      <c r="Q35" s="68"/>
    </row>
    <row r="36" spans="10:17" ht="16" x14ac:dyDescent="0.2">
      <c r="J36" s="68"/>
      <c r="K36" s="68"/>
      <c r="L36" s="68"/>
      <c r="M36" s="68"/>
      <c r="N36" s="68"/>
      <c r="O36" s="68"/>
      <c r="P36" s="68"/>
      <c r="Q36" s="68"/>
    </row>
    <row r="37" spans="10:17" ht="16" x14ac:dyDescent="0.2">
      <c r="J37" s="68"/>
      <c r="K37" s="68"/>
      <c r="L37" s="68"/>
      <c r="M37" s="68"/>
      <c r="N37" s="68"/>
      <c r="O37" s="68"/>
      <c r="P37" s="68"/>
      <c r="Q37" s="68"/>
    </row>
    <row r="38" spans="10:17" ht="16" x14ac:dyDescent="0.2">
      <c r="J38" s="68"/>
      <c r="K38" s="68"/>
      <c r="L38" s="68"/>
      <c r="M38" s="68"/>
      <c r="N38" s="68"/>
      <c r="O38" s="68"/>
      <c r="P38" s="68"/>
      <c r="Q38" s="68"/>
    </row>
    <row r="39" spans="10:17" ht="16" x14ac:dyDescent="0.2">
      <c r="J39" s="68"/>
      <c r="K39" s="68"/>
      <c r="L39" s="68"/>
      <c r="M39" s="68"/>
      <c r="N39" s="68"/>
      <c r="O39" s="68"/>
      <c r="P39" s="68"/>
      <c r="Q39" s="68"/>
    </row>
    <row r="40" spans="10:17" ht="16" x14ac:dyDescent="0.2">
      <c r="J40" s="68"/>
      <c r="K40" s="68"/>
      <c r="L40" s="68"/>
      <c r="M40" s="68"/>
      <c r="N40" s="68"/>
      <c r="O40" s="68"/>
      <c r="P40" s="68"/>
      <c r="Q40" s="68"/>
    </row>
    <row r="41" spans="10:17" ht="16" x14ac:dyDescent="0.2">
      <c r="J41" s="68"/>
      <c r="K41" s="68"/>
      <c r="L41" s="68"/>
      <c r="M41" s="68"/>
      <c r="N41" s="68"/>
      <c r="O41" s="68"/>
      <c r="P41" s="68"/>
      <c r="Q41" s="68"/>
    </row>
    <row r="42" spans="10:17" ht="16" x14ac:dyDescent="0.2">
      <c r="J42" s="68"/>
      <c r="K42" s="68"/>
      <c r="L42" s="68"/>
      <c r="M42" s="68"/>
      <c r="N42" s="68"/>
      <c r="O42" s="68"/>
      <c r="P42" s="68"/>
      <c r="Q42" s="68"/>
    </row>
    <row r="43" spans="10:17" ht="16" x14ac:dyDescent="0.2">
      <c r="J43" s="68"/>
      <c r="K43" s="68"/>
      <c r="L43" s="68"/>
      <c r="M43" s="68"/>
      <c r="N43" s="68"/>
      <c r="O43" s="68"/>
      <c r="P43" s="68"/>
      <c r="Q43" s="68"/>
    </row>
    <row r="44" spans="10:17" ht="16" x14ac:dyDescent="0.2">
      <c r="J44" s="68"/>
      <c r="K44" s="68"/>
      <c r="L44" s="68"/>
      <c r="M44" s="68"/>
      <c r="N44" s="68"/>
      <c r="O44" s="68"/>
      <c r="P44" s="68"/>
      <c r="Q44" s="68"/>
    </row>
    <row r="45" spans="10:17" ht="16" x14ac:dyDescent="0.2">
      <c r="J45" s="68"/>
      <c r="K45" s="68"/>
      <c r="L45" s="68"/>
      <c r="M45" s="68"/>
      <c r="N45" s="68"/>
      <c r="O45" s="68"/>
      <c r="P45" s="68"/>
      <c r="Q45" s="68"/>
    </row>
    <row r="46" spans="10:17" ht="16" x14ac:dyDescent="0.2">
      <c r="J46" s="68"/>
      <c r="K46" s="68"/>
      <c r="L46" s="68"/>
      <c r="M46" s="68"/>
      <c r="N46" s="68"/>
      <c r="O46" s="68"/>
      <c r="P46" s="68"/>
      <c r="Q46" s="68"/>
    </row>
    <row r="101" spans="2:3" x14ac:dyDescent="0.15">
      <c r="B101" s="93">
        <v>0</v>
      </c>
      <c r="C101" s="93">
        <v>0</v>
      </c>
    </row>
  </sheetData>
  <mergeCells count="1">
    <mergeCell ref="B3:Q3"/>
  </mergeCells>
  <dataValidations count="1">
    <dataValidation type="list" allowBlank="1" showInputMessage="1" showErrorMessage="1" sqref="S18" xr:uid="{00000000-0002-0000-0000-000000000000}">
      <formula1>$Z$5:$Z$11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tegories_Button1_Click">
                <anchor moveWithCells="1" sizeWithCells="1">
                  <from>
                    <xdr:col>6</xdr:col>
                    <xdr:colOff>63500</xdr:colOff>
                    <xdr:row>1</xdr:row>
                    <xdr:rowOff>38100</xdr:rowOff>
                  </from>
                  <to>
                    <xdr:col>8</xdr:col>
                    <xdr:colOff>152400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learAllSheets">
                <anchor moveWithCells="1" sizeWithCells="1">
                  <from>
                    <xdr:col>8</xdr:col>
                    <xdr:colOff>215900</xdr:colOff>
                    <xdr:row>1</xdr:row>
                    <xdr:rowOff>38100</xdr:rowOff>
                  </from>
                  <to>
                    <xdr:col>10</xdr:col>
                    <xdr:colOff>292100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C5BAF-D3F8-7F4B-B2FA-6F016AF16ECD}">
  <sheetPr codeName="Sheet20"/>
  <dimension ref="A1:D102"/>
  <sheetViews>
    <sheetView workbookViewId="0">
      <selection activeCell="D18" sqref="D18"/>
    </sheetView>
  </sheetViews>
  <sheetFormatPr baseColWidth="10" defaultColWidth="8.83203125" defaultRowHeight="16" x14ac:dyDescent="0.2"/>
  <cols>
    <col min="2" max="2" width="72.1640625" customWidth="1"/>
    <col min="3" max="3" width="50.6640625" customWidth="1"/>
    <col min="4" max="4" width="15.6640625" customWidth="1"/>
  </cols>
  <sheetData>
    <row r="1" spans="1:3" s="45" customFormat="1" ht="31.5" customHeight="1" x14ac:dyDescent="0.2">
      <c r="A1" s="70"/>
      <c r="B1" s="70"/>
      <c r="C1" s="71" t="s">
        <v>132</v>
      </c>
    </row>
    <row r="2" spans="1:3" ht="32.25" customHeight="1" x14ac:dyDescent="0.2">
      <c r="A2" s="85"/>
      <c r="B2" s="86" t="s">
        <v>21</v>
      </c>
      <c r="C2" s="74" t="s">
        <v>131</v>
      </c>
    </row>
    <row r="3" spans="1:3" ht="27" customHeight="1" x14ac:dyDescent="0.2">
      <c r="A3" s="85"/>
      <c r="B3" s="86" t="s">
        <v>47</v>
      </c>
      <c r="C3" s="86"/>
    </row>
    <row r="4" spans="1:3" ht="33" customHeight="1" x14ac:dyDescent="0.2">
      <c r="A4" s="69">
        <v>1</v>
      </c>
      <c r="B4" s="87" t="s">
        <v>129</v>
      </c>
      <c r="C4" s="80">
        <v>5</v>
      </c>
    </row>
    <row r="5" spans="1:3" ht="33" customHeight="1" x14ac:dyDescent="0.2">
      <c r="A5" s="69">
        <v>2</v>
      </c>
      <c r="B5" s="87" t="s">
        <v>43</v>
      </c>
      <c r="C5" s="80">
        <v>5</v>
      </c>
    </row>
    <row r="6" spans="1:3" ht="36" customHeight="1" x14ac:dyDescent="0.2">
      <c r="A6" s="69">
        <v>3</v>
      </c>
      <c r="B6" s="87" t="s">
        <v>130</v>
      </c>
      <c r="C6" s="80">
        <v>4</v>
      </c>
    </row>
    <row r="7" spans="1:3" x14ac:dyDescent="0.2">
      <c r="A7" s="84"/>
      <c r="B7" s="88" t="s">
        <v>48</v>
      </c>
      <c r="C7" s="89"/>
    </row>
    <row r="8" spans="1:3" ht="32.25" customHeight="1" x14ac:dyDescent="0.2">
      <c r="A8" s="69">
        <v>1</v>
      </c>
      <c r="B8" s="87" t="s">
        <v>124</v>
      </c>
      <c r="C8" s="90">
        <v>5</v>
      </c>
    </row>
    <row r="9" spans="1:3" ht="32.25" customHeight="1" x14ac:dyDescent="0.2">
      <c r="A9" s="69">
        <v>2</v>
      </c>
      <c r="B9" s="82" t="s">
        <v>152</v>
      </c>
      <c r="C9" s="91">
        <v>5</v>
      </c>
    </row>
    <row r="10" spans="1:3" ht="33" customHeight="1" x14ac:dyDescent="0.2">
      <c r="A10" s="69">
        <v>3</v>
      </c>
      <c r="B10" s="82" t="s">
        <v>149</v>
      </c>
      <c r="C10" s="92">
        <v>4</v>
      </c>
    </row>
    <row r="11" spans="1:3" ht="32.25" customHeight="1" x14ac:dyDescent="0.2">
      <c r="A11" s="69">
        <v>4</v>
      </c>
      <c r="B11" s="82" t="s">
        <v>58</v>
      </c>
      <c r="C11" s="82">
        <v>5</v>
      </c>
    </row>
    <row r="12" spans="1:3" ht="39" customHeight="1" x14ac:dyDescent="0.2">
      <c r="A12" s="69">
        <v>5</v>
      </c>
      <c r="B12" s="82" t="s">
        <v>37</v>
      </c>
      <c r="C12" s="82">
        <v>5</v>
      </c>
    </row>
    <row r="13" spans="1:3" ht="53.25" customHeight="1" x14ac:dyDescent="0.2"/>
    <row r="100" spans="1:4" x14ac:dyDescent="0.2">
      <c r="A100" t="s">
        <v>128</v>
      </c>
      <c r="B100">
        <f>(((SUM(C4:C6)-3)/12))*24</f>
        <v>22</v>
      </c>
      <c r="C100">
        <f>(((SUM(C8:C12)-5)))</f>
        <v>19</v>
      </c>
      <c r="D100" t="str">
        <f>IF(B100 &lt; 12, IF(C100 &gt; 12, "Exposed", "Acquisition"), IF(C100 &gt; 12, "Strategic", "Leverage"))</f>
        <v>Strategic</v>
      </c>
    </row>
    <row r="102" spans="1:4" x14ac:dyDescent="0.2">
      <c r="B102">
        <v>0</v>
      </c>
      <c r="C10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Drop Down 1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3</xdr:row>
                    <xdr:rowOff>0</xdr:rowOff>
                  </from>
                  <to>
                    <xdr:col>2</xdr:col>
                    <xdr:colOff>3848100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Drop Down 2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4</xdr:row>
                    <xdr:rowOff>0</xdr:rowOff>
                  </from>
                  <to>
                    <xdr:col>2</xdr:col>
                    <xdr:colOff>3848100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Drop Down 3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4</xdr:row>
                    <xdr:rowOff>406400</xdr:rowOff>
                  </from>
                  <to>
                    <xdr:col>2</xdr:col>
                    <xdr:colOff>3848100</xdr:colOff>
                    <xdr:row>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Drop Down 4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7</xdr:row>
                    <xdr:rowOff>0</xdr:rowOff>
                  </from>
                  <to>
                    <xdr:col>2</xdr:col>
                    <xdr:colOff>3848100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Drop Down 5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8</xdr:row>
                    <xdr:rowOff>25400</xdr:rowOff>
                  </from>
                  <to>
                    <xdr:col>2</xdr:col>
                    <xdr:colOff>3848100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Drop Down 6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9</xdr:row>
                    <xdr:rowOff>0</xdr:rowOff>
                  </from>
                  <to>
                    <xdr:col>2</xdr:col>
                    <xdr:colOff>3848100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Drop Down 7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10</xdr:row>
                    <xdr:rowOff>0</xdr:rowOff>
                  </from>
                  <to>
                    <xdr:col>2</xdr:col>
                    <xdr:colOff>3848100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Drop Down 8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11</xdr:row>
                    <xdr:rowOff>25400</xdr:rowOff>
                  </from>
                  <to>
                    <xdr:col>2</xdr:col>
                    <xdr:colOff>3848100</xdr:colOff>
                    <xdr:row>11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Button 9">
              <controlPr defaultSize="0" print="0" disabled="1" autoFill="0" autoPict="0" macro="[0]!Suppliers_Button2_Click">
                <anchor moveWithCells="1" sizeWithCells="1">
                  <from>
                    <xdr:col>1</xdr:col>
                    <xdr:colOff>2844800</xdr:colOff>
                    <xdr:row>0</xdr:row>
                    <xdr:rowOff>63500</xdr:rowOff>
                  </from>
                  <to>
                    <xdr:col>2</xdr:col>
                    <xdr:colOff>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Button 10">
              <controlPr defaultSize="0" print="0" autoFill="0" autoPict="0" macro="[0]!Suppliers_Button2_Click">
                <anchor moveWithCells="1" sizeWithCells="1">
                  <from>
                    <xdr:col>1</xdr:col>
                    <xdr:colOff>2844800</xdr:colOff>
                    <xdr:row>0</xdr:row>
                    <xdr:rowOff>63500</xdr:rowOff>
                  </from>
                  <to>
                    <xdr:col>2</xdr:col>
                    <xdr:colOff>0</xdr:colOff>
                    <xdr:row>0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:D102"/>
  <sheetViews>
    <sheetView workbookViewId="0">
      <selection activeCell="B4" sqref="B4"/>
    </sheetView>
  </sheetViews>
  <sheetFormatPr baseColWidth="10" defaultColWidth="8.83203125" defaultRowHeight="16" x14ac:dyDescent="0.2"/>
  <cols>
    <col min="2" max="2" width="72.1640625" customWidth="1"/>
    <col min="3" max="3" width="50.6640625" customWidth="1"/>
    <col min="4" max="4" width="15.6640625" customWidth="1"/>
  </cols>
  <sheetData>
    <row r="1" spans="1:3" s="45" customFormat="1" ht="31.5" customHeight="1" x14ac:dyDescent="0.35">
      <c r="C1" s="46" t="s">
        <v>75</v>
      </c>
    </row>
    <row r="2" spans="1:3" ht="32.25" customHeight="1" x14ac:dyDescent="0.25">
      <c r="A2" s="47"/>
      <c r="B2" s="48" t="s">
        <v>21</v>
      </c>
      <c r="C2" s="43" t="s">
        <v>46</v>
      </c>
    </row>
    <row r="3" spans="1:3" ht="27" customHeight="1" x14ac:dyDescent="0.25">
      <c r="A3" s="47"/>
      <c r="B3" s="48" t="s">
        <v>47</v>
      </c>
      <c r="C3" s="48"/>
    </row>
    <row r="4" spans="1:3" ht="33" customHeight="1" x14ac:dyDescent="0.2">
      <c r="A4" s="53">
        <v>1</v>
      </c>
      <c r="B4" s="65" t="s">
        <v>123</v>
      </c>
      <c r="C4" s="4">
        <v>1</v>
      </c>
    </row>
    <row r="5" spans="1:3" ht="33" customHeight="1" x14ac:dyDescent="0.2">
      <c r="A5" s="53">
        <v>2</v>
      </c>
      <c r="B5" s="65" t="s">
        <v>43</v>
      </c>
      <c r="C5" s="4">
        <v>1</v>
      </c>
    </row>
    <row r="6" spans="1:3" ht="36" customHeight="1" x14ac:dyDescent="0.2">
      <c r="A6" s="53">
        <v>3</v>
      </c>
      <c r="B6" s="65" t="s">
        <v>87</v>
      </c>
      <c r="C6" s="4">
        <v>1</v>
      </c>
    </row>
    <row r="7" spans="1:3" ht="22" x14ac:dyDescent="0.25">
      <c r="A7" s="54"/>
      <c r="B7" s="50" t="s">
        <v>48</v>
      </c>
      <c r="C7" s="51"/>
    </row>
    <row r="8" spans="1:3" ht="32.25" customHeight="1" x14ac:dyDescent="0.2">
      <c r="A8" s="53">
        <v>1</v>
      </c>
      <c r="B8" s="65" t="s">
        <v>124</v>
      </c>
      <c r="C8" s="40">
        <v>1</v>
      </c>
    </row>
    <row r="9" spans="1:3" ht="32.25" customHeight="1" x14ac:dyDescent="0.2">
      <c r="A9" s="53">
        <v>2</v>
      </c>
      <c r="B9" s="12" t="s">
        <v>88</v>
      </c>
      <c r="C9" s="41">
        <v>1</v>
      </c>
    </row>
    <row r="10" spans="1:3" ht="33" customHeight="1" x14ac:dyDescent="0.2">
      <c r="A10" s="53">
        <v>3</v>
      </c>
      <c r="B10" s="12" t="s">
        <v>53</v>
      </c>
      <c r="C10" s="42">
        <v>1</v>
      </c>
    </row>
    <row r="11" spans="1:3" ht="32.25" customHeight="1" x14ac:dyDescent="0.2">
      <c r="A11" s="53">
        <v>4</v>
      </c>
      <c r="B11" s="12" t="s">
        <v>58</v>
      </c>
      <c r="C11" s="12">
        <v>1</v>
      </c>
    </row>
    <row r="12" spans="1:3" ht="39" customHeight="1" x14ac:dyDescent="0.2">
      <c r="A12" s="53">
        <v>5</v>
      </c>
      <c r="B12" s="12" t="s">
        <v>37</v>
      </c>
      <c r="C12" s="12">
        <v>1</v>
      </c>
    </row>
    <row r="13" spans="1:3" ht="53.25" customHeight="1" x14ac:dyDescent="0.2"/>
    <row r="100" spans="2:4" x14ac:dyDescent="0.2">
      <c r="B100">
        <f>(((SUM(C4:C6)-3)/12))*24</f>
        <v>0</v>
      </c>
      <c r="C100">
        <f>(((SUM(C8:C12)-5)))</f>
        <v>0</v>
      </c>
      <c r="D100" t="str">
        <f>IF(B100 &lt; 12, IF(C100 &gt; 12, "Exposed", "Acquisition"), IF(C100 &gt; 12, "Strategic", "Leverage"))</f>
        <v>Acquisition</v>
      </c>
    </row>
    <row r="102" spans="2:4" x14ac:dyDescent="0.2">
      <c r="B102">
        <v>0</v>
      </c>
      <c r="C10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Drop Down 1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3</xdr:row>
                    <xdr:rowOff>0</xdr:rowOff>
                  </from>
                  <to>
                    <xdr:col>2</xdr:col>
                    <xdr:colOff>3848100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Drop Down 2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4</xdr:row>
                    <xdr:rowOff>0</xdr:rowOff>
                  </from>
                  <to>
                    <xdr:col>2</xdr:col>
                    <xdr:colOff>3848100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Drop Down 3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4</xdr:row>
                    <xdr:rowOff>406400</xdr:rowOff>
                  </from>
                  <to>
                    <xdr:col>2</xdr:col>
                    <xdr:colOff>3848100</xdr:colOff>
                    <xdr:row>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Drop Down 4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7</xdr:row>
                    <xdr:rowOff>0</xdr:rowOff>
                  </from>
                  <to>
                    <xdr:col>2</xdr:col>
                    <xdr:colOff>3848100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Drop Down 5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8</xdr:row>
                    <xdr:rowOff>25400</xdr:rowOff>
                  </from>
                  <to>
                    <xdr:col>2</xdr:col>
                    <xdr:colOff>3848100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Drop Down 6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9</xdr:row>
                    <xdr:rowOff>0</xdr:rowOff>
                  </from>
                  <to>
                    <xdr:col>2</xdr:col>
                    <xdr:colOff>3848100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Drop Down 7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10</xdr:row>
                    <xdr:rowOff>0</xdr:rowOff>
                  </from>
                  <to>
                    <xdr:col>2</xdr:col>
                    <xdr:colOff>3848100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Drop Down 8">
              <controlPr defaultSize="0" autoLine="0" autoPict="0" macro="[0]!DropDown1_Change">
                <anchor moveWithCells="1">
                  <from>
                    <xdr:col>2</xdr:col>
                    <xdr:colOff>12700</xdr:colOff>
                    <xdr:row>11</xdr:row>
                    <xdr:rowOff>25400</xdr:rowOff>
                  </from>
                  <to>
                    <xdr:col>2</xdr:col>
                    <xdr:colOff>3848100</xdr:colOff>
                    <xdr:row>11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1" name="Button 10">
              <controlPr defaultSize="0" print="0" disabled="1" autoFill="0" autoPict="0" macro="[0]!Suppliers_Button2_Click">
                <anchor moveWithCells="1" sizeWithCells="1">
                  <from>
                    <xdr:col>1</xdr:col>
                    <xdr:colOff>2844800</xdr:colOff>
                    <xdr:row>0</xdr:row>
                    <xdr:rowOff>63500</xdr:rowOff>
                  </from>
                  <to>
                    <xdr:col>2</xdr:col>
                    <xdr:colOff>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2" name="Button 11">
              <controlPr defaultSize="0" print="0" disabled="1" autoFill="0" autoPict="0" macro="[0]!Suppliers_Button2_Click">
                <anchor moveWithCells="1" sizeWithCells="1">
                  <from>
                    <xdr:col>1</xdr:col>
                    <xdr:colOff>2844800</xdr:colOff>
                    <xdr:row>0</xdr:row>
                    <xdr:rowOff>63500</xdr:rowOff>
                  </from>
                  <to>
                    <xdr:col>2</xdr:col>
                    <xdr:colOff>0</xdr:colOff>
                    <xdr:row>0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702E8-D2DE-564A-A971-E032B36EEF0F}">
  <sheetPr codeName="Sheet21"/>
  <dimension ref="A1:K103"/>
  <sheetViews>
    <sheetView tabSelected="1" topLeftCell="A7" workbookViewId="0">
      <selection activeCell="C14" sqref="C14"/>
    </sheetView>
  </sheetViews>
  <sheetFormatPr baseColWidth="10" defaultColWidth="8.83203125" defaultRowHeight="13" x14ac:dyDescent="0.2"/>
  <cols>
    <col min="1" max="1" width="8.83203125" style="75"/>
    <col min="2" max="2" width="81.1640625" style="75" customWidth="1"/>
    <col min="3" max="3" width="37.1640625" style="75" customWidth="1"/>
    <col min="4" max="6" width="8.83203125" style="75"/>
    <col min="7" max="7" width="16" style="75" customWidth="1"/>
    <col min="8" max="8" width="8.83203125" style="75"/>
    <col min="9" max="9" width="19.6640625" style="75" customWidth="1"/>
    <col min="10" max="16384" width="8.83203125" style="75"/>
  </cols>
  <sheetData>
    <row r="1" spans="1:11" s="70" customFormat="1" ht="31.5" customHeight="1" x14ac:dyDescent="0.2">
      <c r="B1" s="71" t="s">
        <v>135</v>
      </c>
      <c r="C1" s="97" t="s">
        <v>154</v>
      </c>
      <c r="D1" s="98"/>
      <c r="E1" s="98"/>
      <c r="F1" s="98"/>
      <c r="G1" s="98"/>
      <c r="H1" s="98"/>
      <c r="I1" s="98"/>
      <c r="J1" s="98"/>
      <c r="K1" s="98"/>
    </row>
    <row r="2" spans="1:11" ht="27" customHeight="1" x14ac:dyDescent="0.2">
      <c r="A2" s="72"/>
      <c r="B2" s="73" t="s">
        <v>35</v>
      </c>
      <c r="C2" s="74" t="s">
        <v>131</v>
      </c>
    </row>
    <row r="3" spans="1:11" ht="22.5" customHeight="1" x14ac:dyDescent="0.2">
      <c r="A3" s="72"/>
      <c r="B3" s="73" t="s">
        <v>64</v>
      </c>
      <c r="C3" s="73"/>
    </row>
    <row r="4" spans="1:11" ht="29.25" customHeight="1" x14ac:dyDescent="0.2">
      <c r="A4" s="69">
        <v>1</v>
      </c>
      <c r="B4" s="76" t="s">
        <v>136</v>
      </c>
      <c r="C4" s="77">
        <v>2</v>
      </c>
    </row>
    <row r="5" spans="1:11" ht="31.5" customHeight="1" x14ac:dyDescent="0.2">
      <c r="A5" s="69">
        <v>2</v>
      </c>
      <c r="B5" s="76" t="s">
        <v>137</v>
      </c>
      <c r="C5" s="78">
        <v>2</v>
      </c>
    </row>
    <row r="6" spans="1:11" ht="33.75" customHeight="1" x14ac:dyDescent="0.2">
      <c r="A6" s="69">
        <v>3</v>
      </c>
      <c r="B6" s="76" t="s">
        <v>138</v>
      </c>
      <c r="C6" s="78">
        <v>2</v>
      </c>
    </row>
    <row r="7" spans="1:11" ht="33" customHeight="1" x14ac:dyDescent="0.2">
      <c r="A7" s="69"/>
      <c r="B7" s="73" t="s">
        <v>65</v>
      </c>
      <c r="C7" s="73"/>
    </row>
    <row r="8" spans="1:11" ht="35.25" customHeight="1" x14ac:dyDescent="0.2">
      <c r="A8" s="69">
        <v>1</v>
      </c>
      <c r="B8" s="77" t="s">
        <v>150</v>
      </c>
      <c r="C8" s="77">
        <v>4</v>
      </c>
    </row>
    <row r="9" spans="1:11" ht="33" customHeight="1" x14ac:dyDescent="0.2">
      <c r="A9" s="69">
        <v>2</v>
      </c>
      <c r="B9" s="78" t="s">
        <v>151</v>
      </c>
      <c r="C9" s="77">
        <v>5</v>
      </c>
    </row>
    <row r="10" spans="1:11" ht="33" customHeight="1" x14ac:dyDescent="0.2">
      <c r="A10" s="69">
        <v>3</v>
      </c>
      <c r="B10" s="79" t="s">
        <v>139</v>
      </c>
      <c r="C10" s="77">
        <v>3</v>
      </c>
    </row>
    <row r="16" spans="1:11" ht="14" x14ac:dyDescent="0.2">
      <c r="A16" s="72"/>
      <c r="B16" s="73" t="s">
        <v>36</v>
      </c>
      <c r="C16" s="74" t="s">
        <v>131</v>
      </c>
    </row>
    <row r="17" spans="1:3" ht="14" x14ac:dyDescent="0.2">
      <c r="A17" s="72"/>
      <c r="B17" s="73" t="s">
        <v>66</v>
      </c>
      <c r="C17" s="73"/>
    </row>
    <row r="18" spans="1:3" ht="27.75" customHeight="1" x14ac:dyDescent="0.2">
      <c r="A18" s="69"/>
      <c r="B18" s="76" t="s">
        <v>140</v>
      </c>
      <c r="C18" s="78">
        <v>2</v>
      </c>
    </row>
    <row r="19" spans="1:3" ht="29.25" customHeight="1" x14ac:dyDescent="0.2">
      <c r="A19" s="69"/>
      <c r="B19" s="79" t="s">
        <v>141</v>
      </c>
      <c r="C19" s="78">
        <v>2</v>
      </c>
    </row>
    <row r="20" spans="1:3" ht="34.5" customHeight="1" x14ac:dyDescent="0.2">
      <c r="A20" s="69"/>
      <c r="B20" s="79" t="s">
        <v>79</v>
      </c>
      <c r="C20" s="78">
        <v>2</v>
      </c>
    </row>
    <row r="21" spans="1:3" ht="34.5" customHeight="1" x14ac:dyDescent="0.2">
      <c r="A21" s="69"/>
      <c r="B21" s="79" t="s">
        <v>81</v>
      </c>
      <c r="C21" s="78">
        <v>3</v>
      </c>
    </row>
    <row r="22" spans="1:3" ht="34.5" customHeight="1" x14ac:dyDescent="0.2">
      <c r="A22" s="69"/>
      <c r="B22" s="79" t="s">
        <v>76</v>
      </c>
      <c r="C22" s="78">
        <v>2</v>
      </c>
    </row>
    <row r="23" spans="1:3" ht="34.5" customHeight="1" x14ac:dyDescent="0.2">
      <c r="A23" s="69"/>
      <c r="B23" s="79" t="s">
        <v>80</v>
      </c>
      <c r="C23" s="78">
        <v>3</v>
      </c>
    </row>
    <row r="24" spans="1:3" ht="34.5" customHeight="1" x14ac:dyDescent="0.2">
      <c r="A24" s="69"/>
      <c r="B24" s="79" t="s">
        <v>142</v>
      </c>
      <c r="C24" s="78">
        <v>4</v>
      </c>
    </row>
    <row r="25" spans="1:3" ht="34.5" customHeight="1" x14ac:dyDescent="0.2">
      <c r="A25" s="69"/>
      <c r="B25" s="77" t="s">
        <v>143</v>
      </c>
      <c r="C25" s="78" t="str">
        <f>INDEX(SP_Lookup!A15:A19,C8)</f>
        <v>Moderate</v>
      </c>
    </row>
    <row r="26" spans="1:3" ht="34.5" customHeight="1" x14ac:dyDescent="0.2">
      <c r="A26" s="69"/>
      <c r="B26" s="79" t="s">
        <v>144</v>
      </c>
      <c r="C26" s="78" t="str">
        <f>INDEX(SP_Lookup!B15:B19,C9)</f>
        <v>Significant</v>
      </c>
    </row>
    <row r="27" spans="1:3" ht="34.5" customHeight="1" x14ac:dyDescent="0.2">
      <c r="A27" s="69"/>
      <c r="B27" s="79" t="s">
        <v>139</v>
      </c>
      <c r="C27" s="78" t="str">
        <f>INDEX(SP_Lookup!C15:C19,C10)</f>
        <v>Little</v>
      </c>
    </row>
    <row r="28" spans="1:3" ht="34.5" customHeight="1" x14ac:dyDescent="0.2">
      <c r="A28" s="69"/>
      <c r="B28" s="76" t="s">
        <v>38</v>
      </c>
      <c r="C28" s="78" t="str">
        <f>INDEX(SP_Lookup!F15:F19,C4)</f>
        <v>&lt;10%</v>
      </c>
    </row>
    <row r="29" spans="1:3" ht="34.5" customHeight="1" x14ac:dyDescent="0.2">
      <c r="A29" s="69"/>
      <c r="B29" s="76" t="s">
        <v>44</v>
      </c>
      <c r="C29" s="78" t="str">
        <f>INDEX(SP_Lookup!E15:E19,C5)</f>
        <v>&lt;10%</v>
      </c>
    </row>
    <row r="30" spans="1:3" ht="34.5" customHeight="1" x14ac:dyDescent="0.2">
      <c r="A30" s="69"/>
      <c r="B30" s="76" t="s">
        <v>138</v>
      </c>
      <c r="C30" s="78" t="str">
        <f>INDEX(SP_Lookup!F15:F19,C6)</f>
        <v>&lt;10%</v>
      </c>
    </row>
    <row r="31" spans="1:3" ht="34.5" customHeight="1" x14ac:dyDescent="0.2">
      <c r="A31" s="69"/>
      <c r="B31" s="73" t="s">
        <v>67</v>
      </c>
      <c r="C31" s="73"/>
    </row>
    <row r="32" spans="1:3" ht="34.5" customHeight="1" x14ac:dyDescent="0.2">
      <c r="A32" s="69"/>
      <c r="B32" s="76" t="s">
        <v>145</v>
      </c>
      <c r="C32" s="77">
        <v>2</v>
      </c>
    </row>
    <row r="33" spans="1:4" ht="34.5" customHeight="1" x14ac:dyDescent="0.2">
      <c r="A33" s="69"/>
      <c r="B33" s="79" t="s">
        <v>83</v>
      </c>
      <c r="C33" s="77">
        <v>2</v>
      </c>
    </row>
    <row r="34" spans="1:4" ht="34.5" customHeight="1" x14ac:dyDescent="0.2">
      <c r="A34" s="69"/>
      <c r="B34" s="80" t="s">
        <v>43</v>
      </c>
      <c r="C34" s="77" t="str">
        <f>INDEX(CS_Lookup!B14:B18,D34)</f>
        <v>&gt;$250M</v>
      </c>
      <c r="D34" s="81">
        <v>5</v>
      </c>
    </row>
    <row r="35" spans="1:4" ht="33.75" customHeight="1" x14ac:dyDescent="0.2">
      <c r="A35" s="69"/>
      <c r="B35" s="80" t="s">
        <v>7</v>
      </c>
      <c r="C35" s="69" t="str">
        <f>INDEX(CS_Lookup!C14:C18,D35)</f>
        <v>Moderate</v>
      </c>
      <c r="D35" s="81">
        <v>4</v>
      </c>
    </row>
    <row r="36" spans="1:4" ht="30" customHeight="1" x14ac:dyDescent="0.2">
      <c r="A36" s="69"/>
      <c r="B36" s="80" t="s">
        <v>8</v>
      </c>
      <c r="C36" s="69" t="str">
        <f>INDEX(CS_Lookup!D14:D18,D36)</f>
        <v>High Cost and Long Time (6+ months)</v>
      </c>
      <c r="D36" s="81">
        <v>5</v>
      </c>
    </row>
    <row r="37" spans="1:4" ht="30" customHeight="1" x14ac:dyDescent="0.2">
      <c r="A37" s="69"/>
      <c r="B37" s="82" t="s">
        <v>148</v>
      </c>
      <c r="C37" s="69" t="str">
        <f>INDEX(CS_Lookup!E14:E18,D37)</f>
        <v>Disastrous</v>
      </c>
      <c r="D37" s="81">
        <v>5</v>
      </c>
    </row>
    <row r="38" spans="1:4" ht="29.25" customHeight="1" x14ac:dyDescent="0.2">
      <c r="A38" s="69"/>
      <c r="B38" s="82" t="s">
        <v>149</v>
      </c>
      <c r="C38" s="69" t="str">
        <f>INDEX(CS_Lookup!F14:F18,D38)</f>
        <v>Few viable (2-5) solutions are available</v>
      </c>
      <c r="D38" s="81">
        <v>4</v>
      </c>
    </row>
    <row r="39" spans="1:4" ht="34.5" customHeight="1" x14ac:dyDescent="0.2">
      <c r="A39" s="69"/>
      <c r="B39" s="82" t="s">
        <v>58</v>
      </c>
      <c r="C39" s="69" t="str">
        <f>INDEX(CS_Lookup!G14:G18,D39)</f>
        <v>Moderate Complexity</v>
      </c>
      <c r="D39" s="81">
        <v>4</v>
      </c>
    </row>
    <row r="40" spans="1:4" ht="14" x14ac:dyDescent="0.2">
      <c r="A40" s="69"/>
      <c r="B40" s="82" t="s">
        <v>37</v>
      </c>
      <c r="C40" s="69" t="str">
        <f>INDEX(CS_Lookup!H14:H18,D40)</f>
        <v>Significant</v>
      </c>
      <c r="D40" s="81">
        <v>5</v>
      </c>
    </row>
    <row r="41" spans="1:4" ht="29.25" customHeight="1" x14ac:dyDescent="0.2"/>
    <row r="43" spans="1:4" ht="27.75" customHeight="1" x14ac:dyDescent="0.2"/>
    <row r="44" spans="1:4" ht="30" customHeight="1" x14ac:dyDescent="0.2"/>
    <row r="100" spans="1:7" x14ac:dyDescent="0.2">
      <c r="A100" s="75" t="s">
        <v>134</v>
      </c>
      <c r="B100" s="75">
        <f>INT((((SUM(C4:C6)-3)/12))*24)</f>
        <v>6</v>
      </c>
      <c r="C100" s="75">
        <f>INT(((SUM(C8:C10)-3)/12)*24)</f>
        <v>18</v>
      </c>
      <c r="D100" s="75" t="s">
        <v>128</v>
      </c>
      <c r="E100" s="75" t="s">
        <v>24</v>
      </c>
      <c r="F100" s="75" t="str">
        <f>IF(B100 &lt; 12, IF(C100 &gt; 12, "Develop", "Nuisance"), IF(C100 &gt; 12, "Core", "Exploit"))</f>
        <v>Develop</v>
      </c>
      <c r="G100" s="75" t="str">
        <f>VLOOKUP(F100,SS_Lookup!$A$11:$E$15,MATCH(E100,SS_Lookup!$A$11:$E$11,0),FALSE)</f>
        <v>Preferred</v>
      </c>
    </row>
    <row r="101" spans="1:7" x14ac:dyDescent="0.2">
      <c r="A101" s="75" t="s">
        <v>134</v>
      </c>
      <c r="B101" s="75">
        <f>((SUM(C18:C24) + SUM(C8:C10) + SUM(C4:C6) - 13)/64)*100</f>
        <v>35.9375</v>
      </c>
      <c r="C101" s="75">
        <f>((SUM(C32:C33) + SUM(D34:D40) -9)/36)*100</f>
        <v>75</v>
      </c>
      <c r="D101" s="75" t="s">
        <v>128</v>
      </c>
    </row>
    <row r="103" spans="1:7" x14ac:dyDescent="0.2">
      <c r="B103" s="83"/>
    </row>
  </sheetData>
  <mergeCells count="1">
    <mergeCell ref="C1:K1"/>
  </mergeCells>
  <pageMargins left="0.7" right="0.7" top="0.75" bottom="0.75" header="0.3" footer="0.3"/>
  <pageSetup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Drop Down 1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7</xdr:row>
                    <xdr:rowOff>76200</xdr:rowOff>
                  </from>
                  <to>
                    <xdr:col>3</xdr:col>
                    <xdr:colOff>25400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Drop Down 2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8</xdr:row>
                    <xdr:rowOff>50800</xdr:rowOff>
                  </from>
                  <to>
                    <xdr:col>3</xdr:col>
                    <xdr:colOff>25400</xdr:colOff>
                    <xdr:row>8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5" name="Drop Down 3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9</xdr:row>
                    <xdr:rowOff>50800</xdr:rowOff>
                  </from>
                  <to>
                    <xdr:col>3</xdr:col>
                    <xdr:colOff>25400</xdr:colOff>
                    <xdr:row>9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6" name="Drop Down 4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2</xdr:row>
                    <xdr:rowOff>279400</xdr:rowOff>
                  </from>
                  <to>
                    <xdr:col>3</xdr:col>
                    <xdr:colOff>25400</xdr:colOff>
                    <xdr:row>3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7" name="Drop Down 5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4</xdr:row>
                    <xdr:rowOff>25400</xdr:rowOff>
                  </from>
                  <to>
                    <xdr:col>3</xdr:col>
                    <xdr:colOff>25400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8" name="Drop Down 6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5</xdr:row>
                    <xdr:rowOff>38100</xdr:rowOff>
                  </from>
                  <to>
                    <xdr:col>3</xdr:col>
                    <xdr:colOff>25400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9" name="Drop Down 7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16</xdr:row>
                    <xdr:rowOff>254000</xdr:rowOff>
                  </from>
                  <to>
                    <xdr:col>3</xdr:col>
                    <xdr:colOff>25400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0" name="Drop Down 8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18</xdr:row>
                    <xdr:rowOff>63500</xdr:rowOff>
                  </from>
                  <to>
                    <xdr:col>3</xdr:col>
                    <xdr:colOff>25400</xdr:colOff>
                    <xdr:row>19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1" name="Drop Down 9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19</xdr:row>
                    <xdr:rowOff>63500</xdr:rowOff>
                  </from>
                  <to>
                    <xdr:col>3</xdr:col>
                    <xdr:colOff>25400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2" name="Drop Down 10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20</xdr:row>
                    <xdr:rowOff>63500</xdr:rowOff>
                  </from>
                  <to>
                    <xdr:col>3</xdr:col>
                    <xdr:colOff>25400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3" name="Drop Down 11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21</xdr:row>
                    <xdr:rowOff>63500</xdr:rowOff>
                  </from>
                  <to>
                    <xdr:col>3</xdr:col>
                    <xdr:colOff>25400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4" name="Drop Down 12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22</xdr:row>
                    <xdr:rowOff>63500</xdr:rowOff>
                  </from>
                  <to>
                    <xdr:col>3</xdr:col>
                    <xdr:colOff>25400</xdr:colOff>
                    <xdr:row>22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5" name="Drop Down 13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23</xdr:row>
                    <xdr:rowOff>63500</xdr:rowOff>
                  </from>
                  <to>
                    <xdr:col>3</xdr:col>
                    <xdr:colOff>25400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6" name="Drop Down 14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31</xdr:row>
                    <xdr:rowOff>12700</xdr:rowOff>
                  </from>
                  <to>
                    <xdr:col>3</xdr:col>
                    <xdr:colOff>25400</xdr:colOff>
                    <xdr:row>31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7" name="Drop Down 15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32</xdr:row>
                    <xdr:rowOff>12700</xdr:rowOff>
                  </from>
                  <to>
                    <xdr:col>3</xdr:col>
                    <xdr:colOff>25400</xdr:colOff>
                    <xdr:row>32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10AA2-90F7-C547-A898-56669F76B65C}">
  <sheetPr codeName="Sheet22"/>
  <dimension ref="A1:K103"/>
  <sheetViews>
    <sheetView workbookViewId="0">
      <selection activeCell="M9" sqref="M9"/>
    </sheetView>
  </sheetViews>
  <sheetFormatPr baseColWidth="10" defaultColWidth="8.83203125" defaultRowHeight="13" x14ac:dyDescent="0.2"/>
  <cols>
    <col min="1" max="1" width="8.83203125" style="75"/>
    <col min="2" max="2" width="81.1640625" style="75" customWidth="1"/>
    <col min="3" max="3" width="37.1640625" style="75" customWidth="1"/>
    <col min="4" max="6" width="8.83203125" style="75"/>
    <col min="7" max="7" width="16" style="75" customWidth="1"/>
    <col min="8" max="8" width="8.83203125" style="75"/>
    <col min="9" max="9" width="19.6640625" style="75" customWidth="1"/>
    <col min="10" max="16384" width="8.83203125" style="75"/>
  </cols>
  <sheetData>
    <row r="1" spans="1:11" s="70" customFormat="1" ht="31.5" customHeight="1" x14ac:dyDescent="0.2">
      <c r="B1" s="71" t="s">
        <v>135</v>
      </c>
      <c r="C1" s="97" t="s">
        <v>156</v>
      </c>
      <c r="D1" s="98"/>
      <c r="E1" s="98"/>
      <c r="F1" s="98"/>
      <c r="G1" s="98"/>
      <c r="H1" s="98"/>
      <c r="I1" s="98"/>
      <c r="J1" s="98"/>
      <c r="K1" s="98"/>
    </row>
    <row r="2" spans="1:11" ht="27" customHeight="1" x14ac:dyDescent="0.2">
      <c r="A2" s="72"/>
      <c r="B2" s="73" t="s">
        <v>35</v>
      </c>
      <c r="C2" s="74" t="s">
        <v>131</v>
      </c>
    </row>
    <row r="3" spans="1:11" ht="22.5" customHeight="1" x14ac:dyDescent="0.2">
      <c r="A3" s="72"/>
      <c r="B3" s="73" t="s">
        <v>64</v>
      </c>
      <c r="C3" s="73"/>
    </row>
    <row r="4" spans="1:11" ht="29.25" customHeight="1" x14ac:dyDescent="0.2">
      <c r="A4" s="69">
        <v>1</v>
      </c>
      <c r="B4" s="76" t="s">
        <v>136</v>
      </c>
      <c r="C4" s="77">
        <v>2</v>
      </c>
    </row>
    <row r="5" spans="1:11" ht="31.5" customHeight="1" x14ac:dyDescent="0.2">
      <c r="A5" s="69">
        <v>2</v>
      </c>
      <c r="B5" s="76" t="s">
        <v>137</v>
      </c>
      <c r="C5" s="78">
        <v>2</v>
      </c>
    </row>
    <row r="6" spans="1:11" ht="33.75" customHeight="1" x14ac:dyDescent="0.2">
      <c r="A6" s="69">
        <v>3</v>
      </c>
      <c r="B6" s="76" t="s">
        <v>138</v>
      </c>
      <c r="C6" s="78">
        <v>2</v>
      </c>
    </row>
    <row r="7" spans="1:11" ht="33" customHeight="1" x14ac:dyDescent="0.2">
      <c r="A7" s="69"/>
      <c r="B7" s="73" t="s">
        <v>65</v>
      </c>
      <c r="C7" s="73"/>
    </row>
    <row r="8" spans="1:11" ht="35.25" customHeight="1" x14ac:dyDescent="0.2">
      <c r="A8" s="69">
        <v>1</v>
      </c>
      <c r="B8" s="77" t="s">
        <v>143</v>
      </c>
      <c r="C8" s="77">
        <v>3</v>
      </c>
    </row>
    <row r="9" spans="1:11" ht="33" customHeight="1" x14ac:dyDescent="0.2">
      <c r="A9" s="69">
        <v>2</v>
      </c>
      <c r="B9" s="78" t="s">
        <v>144</v>
      </c>
      <c r="C9" s="77">
        <v>5</v>
      </c>
    </row>
    <row r="10" spans="1:11" ht="33" customHeight="1" x14ac:dyDescent="0.2">
      <c r="A10" s="69">
        <v>3</v>
      </c>
      <c r="B10" s="79" t="s">
        <v>139</v>
      </c>
      <c r="C10" s="77">
        <v>3</v>
      </c>
    </row>
    <row r="16" spans="1:11" ht="14" x14ac:dyDescent="0.2">
      <c r="A16" s="72"/>
      <c r="B16" s="73" t="s">
        <v>36</v>
      </c>
      <c r="C16" s="74" t="s">
        <v>131</v>
      </c>
    </row>
    <row r="17" spans="1:3" ht="14" x14ac:dyDescent="0.2">
      <c r="A17" s="72"/>
      <c r="B17" s="73" t="s">
        <v>66</v>
      </c>
      <c r="C17" s="73"/>
    </row>
    <row r="18" spans="1:3" ht="27.75" customHeight="1" x14ac:dyDescent="0.2">
      <c r="A18" s="69"/>
      <c r="B18" s="76" t="s">
        <v>140</v>
      </c>
      <c r="C18" s="78">
        <v>2</v>
      </c>
    </row>
    <row r="19" spans="1:3" ht="29.25" customHeight="1" x14ac:dyDescent="0.2">
      <c r="A19" s="69"/>
      <c r="B19" s="79" t="s">
        <v>141</v>
      </c>
      <c r="C19" s="78">
        <v>3</v>
      </c>
    </row>
    <row r="20" spans="1:3" ht="34.5" customHeight="1" x14ac:dyDescent="0.2">
      <c r="A20" s="69"/>
      <c r="B20" s="79" t="s">
        <v>79</v>
      </c>
      <c r="C20" s="78">
        <v>3</v>
      </c>
    </row>
    <row r="21" spans="1:3" ht="34.5" customHeight="1" x14ac:dyDescent="0.2">
      <c r="A21" s="69"/>
      <c r="B21" s="79" t="s">
        <v>81</v>
      </c>
      <c r="C21" s="78">
        <v>5</v>
      </c>
    </row>
    <row r="22" spans="1:3" ht="34.5" customHeight="1" x14ac:dyDescent="0.2">
      <c r="A22" s="69"/>
      <c r="B22" s="79" t="s">
        <v>76</v>
      </c>
      <c r="C22" s="78">
        <v>3</v>
      </c>
    </row>
    <row r="23" spans="1:3" ht="34.5" customHeight="1" x14ac:dyDescent="0.2">
      <c r="A23" s="69"/>
      <c r="B23" s="79" t="s">
        <v>80</v>
      </c>
      <c r="C23" s="78">
        <v>2</v>
      </c>
    </row>
    <row r="24" spans="1:3" ht="34.5" customHeight="1" x14ac:dyDescent="0.2">
      <c r="A24" s="69"/>
      <c r="B24" s="79" t="s">
        <v>142</v>
      </c>
      <c r="C24" s="78">
        <v>5</v>
      </c>
    </row>
    <row r="25" spans="1:3" ht="34.5" customHeight="1" x14ac:dyDescent="0.2">
      <c r="A25" s="69"/>
      <c r="B25" s="77" t="s">
        <v>143</v>
      </c>
      <c r="C25" s="78" t="str">
        <f>INDEX(SP_Lookup!A15:A19,C8)</f>
        <v>Little</v>
      </c>
    </row>
    <row r="26" spans="1:3" ht="34.5" customHeight="1" x14ac:dyDescent="0.2">
      <c r="A26" s="69"/>
      <c r="B26" s="79" t="s">
        <v>144</v>
      </c>
      <c r="C26" s="78" t="str">
        <f>INDEX(SP_Lookup!B15:B19,C9)</f>
        <v>Significant</v>
      </c>
    </row>
    <row r="27" spans="1:3" ht="34.5" customHeight="1" x14ac:dyDescent="0.2">
      <c r="A27" s="69"/>
      <c r="B27" s="79" t="s">
        <v>139</v>
      </c>
      <c r="C27" s="78" t="str">
        <f>INDEX(SP_Lookup!C15:C19,C10)</f>
        <v>Little</v>
      </c>
    </row>
    <row r="28" spans="1:3" ht="34.5" customHeight="1" x14ac:dyDescent="0.2">
      <c r="A28" s="69"/>
      <c r="B28" s="76" t="s">
        <v>38</v>
      </c>
      <c r="C28" s="78" t="str">
        <f>INDEX(SP_Lookup!F15:F19,C4)</f>
        <v>&lt;10%</v>
      </c>
    </row>
    <row r="29" spans="1:3" ht="34.5" customHeight="1" x14ac:dyDescent="0.2">
      <c r="A29" s="69"/>
      <c r="B29" s="76" t="s">
        <v>44</v>
      </c>
      <c r="C29" s="78" t="str">
        <f>INDEX(SP_Lookup!E15:E19,C5)</f>
        <v>&lt;10%</v>
      </c>
    </row>
    <row r="30" spans="1:3" ht="34.5" customHeight="1" x14ac:dyDescent="0.2">
      <c r="A30" s="69"/>
      <c r="B30" s="76" t="s">
        <v>138</v>
      </c>
      <c r="C30" s="78" t="str">
        <f>INDEX(SP_Lookup!F15:F19,C6)</f>
        <v>&lt;10%</v>
      </c>
    </row>
    <row r="31" spans="1:3" ht="34.5" customHeight="1" x14ac:dyDescent="0.2">
      <c r="A31" s="69"/>
      <c r="B31" s="73" t="s">
        <v>67</v>
      </c>
      <c r="C31" s="73"/>
    </row>
    <row r="32" spans="1:3" ht="34.5" customHeight="1" x14ac:dyDescent="0.2">
      <c r="A32" s="69"/>
      <c r="B32" s="76" t="s">
        <v>145</v>
      </c>
      <c r="C32" s="77">
        <v>2</v>
      </c>
    </row>
    <row r="33" spans="1:4" ht="34.5" customHeight="1" x14ac:dyDescent="0.2">
      <c r="A33" s="69"/>
      <c r="B33" s="79" t="s">
        <v>83</v>
      </c>
      <c r="C33" s="77">
        <v>2</v>
      </c>
    </row>
    <row r="34" spans="1:4" ht="34.5" customHeight="1" x14ac:dyDescent="0.2">
      <c r="A34" s="69"/>
      <c r="B34" s="80" t="s">
        <v>43</v>
      </c>
      <c r="C34" s="77" t="str">
        <f>INDEX(CS_Lookup!B14:B18,D34)</f>
        <v>&gt;$250M</v>
      </c>
      <c r="D34" s="81">
        <v>5</v>
      </c>
    </row>
    <row r="35" spans="1:4" ht="33.75" customHeight="1" x14ac:dyDescent="0.2">
      <c r="A35" s="69"/>
      <c r="B35" s="80" t="s">
        <v>7</v>
      </c>
      <c r="C35" s="69" t="str">
        <f>INDEX(CS_Lookup!C14:C18,D35)</f>
        <v>Moderate</v>
      </c>
      <c r="D35" s="81">
        <v>4</v>
      </c>
    </row>
    <row r="36" spans="1:4" ht="30" customHeight="1" x14ac:dyDescent="0.2">
      <c r="A36" s="69"/>
      <c r="B36" s="80" t="s">
        <v>8</v>
      </c>
      <c r="C36" s="69" t="str">
        <f>INDEX(CS_Lookup!D14:D18,D36)</f>
        <v>High Cost and Long Time (6+ months)</v>
      </c>
      <c r="D36" s="81">
        <v>5</v>
      </c>
    </row>
    <row r="37" spans="1:4" ht="30" customHeight="1" x14ac:dyDescent="0.2">
      <c r="A37" s="69"/>
      <c r="B37" s="82" t="s">
        <v>148</v>
      </c>
      <c r="C37" s="69" t="str">
        <f>INDEX(CS_Lookup!E14:E18,D37)</f>
        <v>Disastrous</v>
      </c>
      <c r="D37" s="81">
        <v>5</v>
      </c>
    </row>
    <row r="38" spans="1:4" ht="29.25" customHeight="1" x14ac:dyDescent="0.2">
      <c r="A38" s="69"/>
      <c r="B38" s="82" t="s">
        <v>149</v>
      </c>
      <c r="C38" s="69" t="str">
        <f>INDEX(CS_Lookup!F14:F18,D38)</f>
        <v>Few viable (2-5) solutions are available</v>
      </c>
      <c r="D38" s="81">
        <v>4</v>
      </c>
    </row>
    <row r="39" spans="1:4" ht="34.5" customHeight="1" x14ac:dyDescent="0.2">
      <c r="A39" s="69"/>
      <c r="B39" s="82" t="s">
        <v>58</v>
      </c>
      <c r="C39" s="69" t="str">
        <f>INDEX(CS_Lookup!G14:G18,D39)</f>
        <v>Moderate Complexity</v>
      </c>
      <c r="D39" s="81">
        <v>4</v>
      </c>
    </row>
    <row r="40" spans="1:4" ht="14" x14ac:dyDescent="0.2">
      <c r="A40" s="69"/>
      <c r="B40" s="82" t="s">
        <v>37</v>
      </c>
      <c r="C40" s="69" t="str">
        <f>INDEX(CS_Lookup!H14:H18,D40)</f>
        <v>Significant</v>
      </c>
      <c r="D40" s="81">
        <v>5</v>
      </c>
    </row>
    <row r="41" spans="1:4" ht="29.25" customHeight="1" x14ac:dyDescent="0.2"/>
    <row r="43" spans="1:4" ht="27.75" customHeight="1" x14ac:dyDescent="0.2"/>
    <row r="44" spans="1:4" ht="30" customHeight="1" x14ac:dyDescent="0.2"/>
    <row r="100" spans="1:7" x14ac:dyDescent="0.2">
      <c r="A100" s="75" t="s">
        <v>146</v>
      </c>
      <c r="B100" s="75">
        <f>INT((((SUM(C4:C6)-3)/12))*24)</f>
        <v>6</v>
      </c>
      <c r="C100" s="75">
        <f>INT(((SUM(C8:C10)-3)/12)*24)</f>
        <v>16</v>
      </c>
      <c r="D100" s="75" t="s">
        <v>128</v>
      </c>
      <c r="E100" s="75" t="s">
        <v>24</v>
      </c>
      <c r="F100" s="75" t="str">
        <f>IF(B100 &lt; 12, IF(C100 &gt; 12, "Develop", "Nuisance"), IF(C100 &gt; 12, "Core", "Exploit"))</f>
        <v>Develop</v>
      </c>
      <c r="G100" s="75" t="str">
        <f>VLOOKUP(F100,SS_Lookup!$A$11:$E$15,MATCH(E100,SS_Lookup!$A$11:$E$11,0),FALSE)</f>
        <v>Preferred</v>
      </c>
    </row>
    <row r="101" spans="1:7" x14ac:dyDescent="0.2">
      <c r="A101" s="75" t="s">
        <v>146</v>
      </c>
      <c r="B101" s="75">
        <f>((SUM(C18:C24) + SUM(C8:C10) + SUM(C4:C6) - 13)/64)*100</f>
        <v>42.1875</v>
      </c>
      <c r="C101" s="75">
        <f>((SUM(C32:C33) + SUM(D34:D40) -9)/36)*100</f>
        <v>75</v>
      </c>
      <c r="D101" s="75" t="s">
        <v>128</v>
      </c>
    </row>
    <row r="103" spans="1:7" x14ac:dyDescent="0.2">
      <c r="B103" s="83"/>
    </row>
  </sheetData>
  <mergeCells count="1">
    <mergeCell ref="C1:K1"/>
  </mergeCells>
  <pageMargins left="0.7" right="0.7" top="0.75" bottom="0.75" header="0.3" footer="0.3"/>
  <pageSetup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Drop Down 1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7</xdr:row>
                    <xdr:rowOff>76200</xdr:rowOff>
                  </from>
                  <to>
                    <xdr:col>3</xdr:col>
                    <xdr:colOff>25400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Drop Down 2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8</xdr:row>
                    <xdr:rowOff>50800</xdr:rowOff>
                  </from>
                  <to>
                    <xdr:col>3</xdr:col>
                    <xdr:colOff>25400</xdr:colOff>
                    <xdr:row>8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Drop Down 3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9</xdr:row>
                    <xdr:rowOff>50800</xdr:rowOff>
                  </from>
                  <to>
                    <xdr:col>3</xdr:col>
                    <xdr:colOff>25400</xdr:colOff>
                    <xdr:row>9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Drop Down 4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2</xdr:row>
                    <xdr:rowOff>279400</xdr:rowOff>
                  </from>
                  <to>
                    <xdr:col>3</xdr:col>
                    <xdr:colOff>25400</xdr:colOff>
                    <xdr:row>3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7" name="Drop Down 5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4</xdr:row>
                    <xdr:rowOff>25400</xdr:rowOff>
                  </from>
                  <to>
                    <xdr:col>3</xdr:col>
                    <xdr:colOff>25400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8" name="Drop Down 6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5</xdr:row>
                    <xdr:rowOff>38100</xdr:rowOff>
                  </from>
                  <to>
                    <xdr:col>3</xdr:col>
                    <xdr:colOff>25400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9" name="Drop Down 7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16</xdr:row>
                    <xdr:rowOff>254000</xdr:rowOff>
                  </from>
                  <to>
                    <xdr:col>3</xdr:col>
                    <xdr:colOff>25400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0" name="Drop Down 8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18</xdr:row>
                    <xdr:rowOff>63500</xdr:rowOff>
                  </from>
                  <to>
                    <xdr:col>3</xdr:col>
                    <xdr:colOff>25400</xdr:colOff>
                    <xdr:row>19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1" name="Drop Down 9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19</xdr:row>
                    <xdr:rowOff>63500</xdr:rowOff>
                  </from>
                  <to>
                    <xdr:col>3</xdr:col>
                    <xdr:colOff>25400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2" name="Drop Down 10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20</xdr:row>
                    <xdr:rowOff>63500</xdr:rowOff>
                  </from>
                  <to>
                    <xdr:col>3</xdr:col>
                    <xdr:colOff>25400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3" name="Drop Down 11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21</xdr:row>
                    <xdr:rowOff>63500</xdr:rowOff>
                  </from>
                  <to>
                    <xdr:col>3</xdr:col>
                    <xdr:colOff>25400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4" name="Drop Down 12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22</xdr:row>
                    <xdr:rowOff>63500</xdr:rowOff>
                  </from>
                  <to>
                    <xdr:col>3</xdr:col>
                    <xdr:colOff>25400</xdr:colOff>
                    <xdr:row>22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5" name="Drop Down 13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23</xdr:row>
                    <xdr:rowOff>63500</xdr:rowOff>
                  </from>
                  <to>
                    <xdr:col>3</xdr:col>
                    <xdr:colOff>25400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6" name="Drop Down 14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31</xdr:row>
                    <xdr:rowOff>12700</xdr:rowOff>
                  </from>
                  <to>
                    <xdr:col>3</xdr:col>
                    <xdr:colOff>25400</xdr:colOff>
                    <xdr:row>31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7" name="Drop Down 15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32</xdr:row>
                    <xdr:rowOff>12700</xdr:rowOff>
                  </from>
                  <to>
                    <xdr:col>3</xdr:col>
                    <xdr:colOff>25400</xdr:colOff>
                    <xdr:row>32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CEEE-917A-C347-9D0A-A799C7553973}">
  <sheetPr codeName="Sheet24"/>
  <dimension ref="A1:K103"/>
  <sheetViews>
    <sheetView workbookViewId="0">
      <selection activeCell="B30" sqref="B7:B30"/>
    </sheetView>
  </sheetViews>
  <sheetFormatPr baseColWidth="10" defaultColWidth="8.83203125" defaultRowHeight="13" x14ac:dyDescent="0.2"/>
  <cols>
    <col min="1" max="1" width="8.83203125" style="75"/>
    <col min="2" max="2" width="81.1640625" style="75" customWidth="1"/>
    <col min="3" max="3" width="37.1640625" style="75" customWidth="1"/>
    <col min="4" max="6" width="8.83203125" style="75"/>
    <col min="7" max="7" width="16" style="75" customWidth="1"/>
    <col min="8" max="8" width="8.83203125" style="75"/>
    <col min="9" max="9" width="19.6640625" style="75" customWidth="1"/>
    <col min="10" max="16384" width="8.83203125" style="75"/>
  </cols>
  <sheetData>
    <row r="1" spans="1:11" s="70" customFormat="1" ht="31.5" customHeight="1" x14ac:dyDescent="0.2">
      <c r="B1" s="71" t="s">
        <v>135</v>
      </c>
      <c r="C1" s="97" t="s">
        <v>158</v>
      </c>
      <c r="D1" s="98"/>
      <c r="E1" s="98"/>
      <c r="F1" s="98"/>
      <c r="G1" s="98"/>
      <c r="H1" s="98"/>
      <c r="I1" s="98"/>
      <c r="J1" s="98"/>
      <c r="K1" s="98"/>
    </row>
    <row r="2" spans="1:11" ht="27" customHeight="1" x14ac:dyDescent="0.2">
      <c r="A2" s="72"/>
      <c r="B2" s="73" t="s">
        <v>35</v>
      </c>
      <c r="C2" s="74" t="s">
        <v>131</v>
      </c>
    </row>
    <row r="3" spans="1:11" ht="22.5" customHeight="1" x14ac:dyDescent="0.2">
      <c r="A3" s="72"/>
      <c r="B3" s="73" t="s">
        <v>64</v>
      </c>
      <c r="C3" s="73"/>
    </row>
    <row r="4" spans="1:11" ht="29.25" customHeight="1" x14ac:dyDescent="0.2">
      <c r="A4" s="69">
        <v>1</v>
      </c>
      <c r="B4" s="76" t="s">
        <v>136</v>
      </c>
      <c r="C4" s="77">
        <v>3</v>
      </c>
    </row>
    <row r="5" spans="1:11" ht="31.5" customHeight="1" x14ac:dyDescent="0.2">
      <c r="A5" s="69">
        <v>2</v>
      </c>
      <c r="B5" s="76" t="s">
        <v>137</v>
      </c>
      <c r="C5" s="78">
        <v>3</v>
      </c>
    </row>
    <row r="6" spans="1:11" ht="33.75" customHeight="1" x14ac:dyDescent="0.2">
      <c r="A6" s="69">
        <v>3</v>
      </c>
      <c r="B6" s="76" t="s">
        <v>138</v>
      </c>
      <c r="C6" s="78">
        <v>2</v>
      </c>
    </row>
    <row r="7" spans="1:11" ht="33" customHeight="1" x14ac:dyDescent="0.2">
      <c r="A7" s="69"/>
      <c r="B7" s="73" t="s">
        <v>65</v>
      </c>
      <c r="C7" s="73"/>
    </row>
    <row r="8" spans="1:11" ht="35.25" customHeight="1" x14ac:dyDescent="0.2">
      <c r="A8" s="69">
        <v>1</v>
      </c>
      <c r="B8" s="77" t="s">
        <v>143</v>
      </c>
      <c r="C8" s="77">
        <v>5</v>
      </c>
    </row>
    <row r="9" spans="1:11" ht="33" customHeight="1" x14ac:dyDescent="0.2">
      <c r="A9" s="69">
        <v>2</v>
      </c>
      <c r="B9" s="78" t="s">
        <v>144</v>
      </c>
      <c r="C9" s="77">
        <v>5</v>
      </c>
    </row>
    <row r="10" spans="1:11" ht="33" customHeight="1" x14ac:dyDescent="0.2">
      <c r="A10" s="69">
        <v>3</v>
      </c>
      <c r="B10" s="79" t="s">
        <v>139</v>
      </c>
      <c r="C10" s="77">
        <v>4</v>
      </c>
    </row>
    <row r="16" spans="1:11" ht="14" x14ac:dyDescent="0.2">
      <c r="A16" s="72"/>
      <c r="B16" s="73" t="s">
        <v>36</v>
      </c>
      <c r="C16" s="74" t="s">
        <v>131</v>
      </c>
    </row>
    <row r="17" spans="1:3" ht="14" x14ac:dyDescent="0.2">
      <c r="A17" s="72"/>
      <c r="B17" s="73" t="s">
        <v>66</v>
      </c>
      <c r="C17" s="73"/>
    </row>
    <row r="18" spans="1:3" ht="27.75" customHeight="1" x14ac:dyDescent="0.2">
      <c r="A18" s="69"/>
      <c r="B18" s="76" t="s">
        <v>140</v>
      </c>
      <c r="C18" s="78">
        <v>4</v>
      </c>
    </row>
    <row r="19" spans="1:3" ht="29.25" customHeight="1" x14ac:dyDescent="0.2">
      <c r="A19" s="69"/>
      <c r="B19" s="79" t="s">
        <v>141</v>
      </c>
      <c r="C19" s="78">
        <v>4</v>
      </c>
    </row>
    <row r="20" spans="1:3" ht="34.5" customHeight="1" x14ac:dyDescent="0.2">
      <c r="A20" s="69"/>
      <c r="B20" s="79" t="s">
        <v>79</v>
      </c>
      <c r="C20" s="78">
        <v>4</v>
      </c>
    </row>
    <row r="21" spans="1:3" ht="34.5" customHeight="1" x14ac:dyDescent="0.2">
      <c r="A21" s="69"/>
      <c r="B21" s="79" t="s">
        <v>81</v>
      </c>
      <c r="C21" s="78">
        <v>5</v>
      </c>
    </row>
    <row r="22" spans="1:3" ht="34.5" customHeight="1" x14ac:dyDescent="0.2">
      <c r="A22" s="69"/>
      <c r="B22" s="79" t="s">
        <v>76</v>
      </c>
      <c r="C22" s="78">
        <v>3</v>
      </c>
    </row>
    <row r="23" spans="1:3" ht="34.5" customHeight="1" x14ac:dyDescent="0.2">
      <c r="A23" s="69"/>
      <c r="B23" s="79" t="s">
        <v>80</v>
      </c>
      <c r="C23" s="78">
        <v>4</v>
      </c>
    </row>
    <row r="24" spans="1:3" ht="34.5" customHeight="1" x14ac:dyDescent="0.2">
      <c r="A24" s="69"/>
      <c r="B24" s="79" t="s">
        <v>142</v>
      </c>
      <c r="C24" s="78">
        <v>3</v>
      </c>
    </row>
    <row r="25" spans="1:3" ht="34.5" customHeight="1" x14ac:dyDescent="0.2">
      <c r="A25" s="69"/>
      <c r="B25" s="77" t="s">
        <v>143</v>
      </c>
      <c r="C25" s="78" t="str">
        <f>INDEX(SP_Lookup!A15:A19,C8)</f>
        <v>Significant</v>
      </c>
    </row>
    <row r="26" spans="1:3" ht="34.5" customHeight="1" x14ac:dyDescent="0.2">
      <c r="A26" s="69"/>
      <c r="B26" s="79" t="s">
        <v>144</v>
      </c>
      <c r="C26" s="78" t="str">
        <f>INDEX(SP_Lookup!B15:B19,C9)</f>
        <v>Significant</v>
      </c>
    </row>
    <row r="27" spans="1:3" ht="34.5" customHeight="1" x14ac:dyDescent="0.2">
      <c r="A27" s="69"/>
      <c r="B27" s="79" t="s">
        <v>139</v>
      </c>
      <c r="C27" s="78" t="str">
        <f>INDEX(SP_Lookup!C15:C19,C10)</f>
        <v>Moderate</v>
      </c>
    </row>
    <row r="28" spans="1:3" ht="34.5" customHeight="1" x14ac:dyDescent="0.2">
      <c r="A28" s="69"/>
      <c r="B28" s="76" t="s">
        <v>38</v>
      </c>
      <c r="C28" s="78" t="str">
        <f>INDEX(SP_Lookup!F15:F19,C4)</f>
        <v>&gt;10 and &lt;30%</v>
      </c>
    </row>
    <row r="29" spans="1:3" ht="34.5" customHeight="1" x14ac:dyDescent="0.2">
      <c r="A29" s="69"/>
      <c r="B29" s="76" t="s">
        <v>44</v>
      </c>
      <c r="C29" s="78" t="str">
        <f>INDEX(SP_Lookup!E15:E19,C5)</f>
        <v>&gt;10 and &lt;30%</v>
      </c>
    </row>
    <row r="30" spans="1:3" ht="34.5" customHeight="1" x14ac:dyDescent="0.2">
      <c r="A30" s="69"/>
      <c r="B30" s="76" t="s">
        <v>138</v>
      </c>
      <c r="C30" s="78" t="str">
        <f>INDEX(SP_Lookup!F15:F19,C6)</f>
        <v>&lt;10%</v>
      </c>
    </row>
    <row r="31" spans="1:3" ht="34.5" customHeight="1" x14ac:dyDescent="0.2">
      <c r="A31" s="69"/>
      <c r="B31" s="73" t="s">
        <v>67</v>
      </c>
      <c r="C31" s="73"/>
    </row>
    <row r="32" spans="1:3" ht="34.5" customHeight="1" x14ac:dyDescent="0.2">
      <c r="A32" s="69"/>
      <c r="B32" s="76" t="s">
        <v>145</v>
      </c>
      <c r="C32" s="77">
        <v>2</v>
      </c>
    </row>
    <row r="33" spans="1:4" ht="34.5" customHeight="1" x14ac:dyDescent="0.2">
      <c r="A33" s="69"/>
      <c r="B33" s="79" t="s">
        <v>83</v>
      </c>
      <c r="C33" s="77">
        <v>2</v>
      </c>
    </row>
    <row r="34" spans="1:4" ht="34.5" customHeight="1" x14ac:dyDescent="0.2">
      <c r="A34" s="69"/>
      <c r="B34" s="80" t="s">
        <v>43</v>
      </c>
      <c r="C34" s="77" t="str">
        <f>INDEX(CS_Lookup!B14:B18,D34)</f>
        <v>&gt;$250M</v>
      </c>
      <c r="D34" s="81">
        <v>5</v>
      </c>
    </row>
    <row r="35" spans="1:4" ht="33.75" customHeight="1" x14ac:dyDescent="0.2">
      <c r="A35" s="69"/>
      <c r="B35" s="80" t="s">
        <v>7</v>
      </c>
      <c r="C35" s="69" t="str">
        <f>INDEX(CS_Lookup!C14:C18,D35)</f>
        <v>Moderate</v>
      </c>
      <c r="D35" s="81">
        <v>4</v>
      </c>
    </row>
    <row r="36" spans="1:4" ht="30" customHeight="1" x14ac:dyDescent="0.2">
      <c r="A36" s="69"/>
      <c r="B36" s="80" t="s">
        <v>8</v>
      </c>
      <c r="C36" s="69" t="str">
        <f>INDEX(CS_Lookup!D14:D18,D36)</f>
        <v>High Cost and Long Time (6+ months)</v>
      </c>
      <c r="D36" s="81">
        <v>5</v>
      </c>
    </row>
    <row r="37" spans="1:4" ht="30" customHeight="1" x14ac:dyDescent="0.2">
      <c r="A37" s="69"/>
      <c r="B37" s="82" t="s">
        <v>148</v>
      </c>
      <c r="C37" s="69" t="str">
        <f>INDEX(CS_Lookup!E14:E18,D37)</f>
        <v>Disastrous</v>
      </c>
      <c r="D37" s="81">
        <v>5</v>
      </c>
    </row>
    <row r="38" spans="1:4" ht="29.25" customHeight="1" x14ac:dyDescent="0.2">
      <c r="A38" s="69"/>
      <c r="B38" s="82" t="s">
        <v>149</v>
      </c>
      <c r="C38" s="69" t="str">
        <f>INDEX(CS_Lookup!F14:F18,D38)</f>
        <v>Few viable (2-5) solutions are available</v>
      </c>
      <c r="D38" s="81">
        <v>4</v>
      </c>
    </row>
    <row r="39" spans="1:4" ht="34.5" customHeight="1" x14ac:dyDescent="0.2">
      <c r="A39" s="69"/>
      <c r="B39" s="82" t="s">
        <v>58</v>
      </c>
      <c r="C39" s="69" t="str">
        <f>INDEX(CS_Lookup!G14:G18,D39)</f>
        <v>Moderate Complexity</v>
      </c>
      <c r="D39" s="81">
        <v>4</v>
      </c>
    </row>
    <row r="40" spans="1:4" ht="14" x14ac:dyDescent="0.2">
      <c r="A40" s="69"/>
      <c r="B40" s="82" t="s">
        <v>37</v>
      </c>
      <c r="C40" s="69" t="str">
        <f>INDEX(CS_Lookup!H14:H18,D40)</f>
        <v>Significant</v>
      </c>
      <c r="D40" s="81">
        <v>5</v>
      </c>
    </row>
    <row r="41" spans="1:4" ht="29.25" customHeight="1" x14ac:dyDescent="0.2"/>
    <row r="43" spans="1:4" ht="27.75" customHeight="1" x14ac:dyDescent="0.2"/>
    <row r="44" spans="1:4" ht="30" customHeight="1" x14ac:dyDescent="0.2"/>
    <row r="100" spans="1:7" x14ac:dyDescent="0.2">
      <c r="A100" s="75" t="s">
        <v>147</v>
      </c>
      <c r="B100" s="75">
        <f>INT((((SUM(C4:C6)-3)/12))*24)</f>
        <v>10</v>
      </c>
      <c r="C100" s="75">
        <f>INT(((SUM(C8:C10)-3)/12)*24)</f>
        <v>22</v>
      </c>
      <c r="D100" s="75" t="s">
        <v>128</v>
      </c>
      <c r="E100" s="75" t="s">
        <v>24</v>
      </c>
      <c r="F100" s="75" t="str">
        <f>IF(B100 &lt; 12, IF(C100 &gt; 12, "Develop", "Nuisance"), IF(C100 &gt; 12, "Core", "Exploit"))</f>
        <v>Develop</v>
      </c>
      <c r="G100" s="75" t="str">
        <f>VLOOKUP(F100,SS_Lookup!$A$11:$E$15,MATCH(E100,SS_Lookup!$A$11:$E$11,0),FALSE)</f>
        <v>Preferred</v>
      </c>
    </row>
    <row r="101" spans="1:7" x14ac:dyDescent="0.2">
      <c r="A101" s="75" t="s">
        <v>147</v>
      </c>
      <c r="B101" s="75">
        <f>((SUM(C18:C24) + SUM(C8:C10) + SUM(C4:C6) - 13)/64)*100</f>
        <v>56.25</v>
      </c>
      <c r="C101" s="75">
        <f>((SUM(C32:C33) + SUM(D34:D40) -9)/36)*100</f>
        <v>75</v>
      </c>
      <c r="D101" s="75" t="s">
        <v>128</v>
      </c>
    </row>
    <row r="103" spans="1:7" x14ac:dyDescent="0.2">
      <c r="B103" s="83"/>
    </row>
  </sheetData>
  <mergeCells count="1">
    <mergeCell ref="C1:K1"/>
  </mergeCells>
  <pageMargins left="0.7" right="0.7" top="0.75" bottom="0.75" header="0.3" footer="0.3"/>
  <pageSetup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Drop Down 1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7</xdr:row>
                    <xdr:rowOff>76200</xdr:rowOff>
                  </from>
                  <to>
                    <xdr:col>3</xdr:col>
                    <xdr:colOff>25400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Drop Down 2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8</xdr:row>
                    <xdr:rowOff>50800</xdr:rowOff>
                  </from>
                  <to>
                    <xdr:col>3</xdr:col>
                    <xdr:colOff>25400</xdr:colOff>
                    <xdr:row>8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5" name="Drop Down 3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9</xdr:row>
                    <xdr:rowOff>50800</xdr:rowOff>
                  </from>
                  <to>
                    <xdr:col>3</xdr:col>
                    <xdr:colOff>25400</xdr:colOff>
                    <xdr:row>9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6" name="Drop Down 4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2</xdr:row>
                    <xdr:rowOff>279400</xdr:rowOff>
                  </from>
                  <to>
                    <xdr:col>3</xdr:col>
                    <xdr:colOff>25400</xdr:colOff>
                    <xdr:row>3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7" name="Drop Down 5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4</xdr:row>
                    <xdr:rowOff>25400</xdr:rowOff>
                  </from>
                  <to>
                    <xdr:col>3</xdr:col>
                    <xdr:colOff>25400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8" name="Drop Down 6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5</xdr:row>
                    <xdr:rowOff>38100</xdr:rowOff>
                  </from>
                  <to>
                    <xdr:col>3</xdr:col>
                    <xdr:colOff>25400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9" name="Drop Down 7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16</xdr:row>
                    <xdr:rowOff>254000</xdr:rowOff>
                  </from>
                  <to>
                    <xdr:col>3</xdr:col>
                    <xdr:colOff>25400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0" r:id="rId10" name="Drop Down 8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18</xdr:row>
                    <xdr:rowOff>63500</xdr:rowOff>
                  </from>
                  <to>
                    <xdr:col>3</xdr:col>
                    <xdr:colOff>25400</xdr:colOff>
                    <xdr:row>19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1" r:id="rId11" name="Drop Down 9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19</xdr:row>
                    <xdr:rowOff>63500</xdr:rowOff>
                  </from>
                  <to>
                    <xdr:col>3</xdr:col>
                    <xdr:colOff>25400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2" r:id="rId12" name="Drop Down 10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20</xdr:row>
                    <xdr:rowOff>63500</xdr:rowOff>
                  </from>
                  <to>
                    <xdr:col>3</xdr:col>
                    <xdr:colOff>25400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3" r:id="rId13" name="Drop Down 11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21</xdr:row>
                    <xdr:rowOff>63500</xdr:rowOff>
                  </from>
                  <to>
                    <xdr:col>3</xdr:col>
                    <xdr:colOff>25400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4" r:id="rId14" name="Drop Down 12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22</xdr:row>
                    <xdr:rowOff>63500</xdr:rowOff>
                  </from>
                  <to>
                    <xdr:col>3</xdr:col>
                    <xdr:colOff>25400</xdr:colOff>
                    <xdr:row>22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5" r:id="rId15" name="Drop Down 13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23</xdr:row>
                    <xdr:rowOff>63500</xdr:rowOff>
                  </from>
                  <to>
                    <xdr:col>3</xdr:col>
                    <xdr:colOff>25400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6" r:id="rId16" name="Drop Down 14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31</xdr:row>
                    <xdr:rowOff>12700</xdr:rowOff>
                  </from>
                  <to>
                    <xdr:col>3</xdr:col>
                    <xdr:colOff>25400</xdr:colOff>
                    <xdr:row>31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7" r:id="rId17" name="Drop Down 15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32</xdr:row>
                    <xdr:rowOff>12700</xdr:rowOff>
                  </from>
                  <to>
                    <xdr:col>3</xdr:col>
                    <xdr:colOff>25400</xdr:colOff>
                    <xdr:row>32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F7761-3C14-DA4C-80A0-6CF668F4BB18}">
  <sheetPr codeName="Sheet25"/>
  <dimension ref="A1:K103"/>
  <sheetViews>
    <sheetView workbookViewId="0">
      <selection activeCell="M16" sqref="M16"/>
    </sheetView>
  </sheetViews>
  <sheetFormatPr baseColWidth="10" defaultColWidth="8.83203125" defaultRowHeight="13" x14ac:dyDescent="0.2"/>
  <cols>
    <col min="1" max="1" width="8.83203125" style="75"/>
    <col min="2" max="2" width="81.1640625" style="75" customWidth="1"/>
    <col min="3" max="3" width="37.1640625" style="75" customWidth="1"/>
    <col min="4" max="6" width="8.83203125" style="75"/>
    <col min="7" max="7" width="16" style="75" customWidth="1"/>
    <col min="8" max="8" width="8.83203125" style="75"/>
    <col min="9" max="9" width="19.6640625" style="75" customWidth="1"/>
    <col min="10" max="16384" width="8.83203125" style="75"/>
  </cols>
  <sheetData>
    <row r="1" spans="1:11" s="70" customFormat="1" ht="31.5" customHeight="1" x14ac:dyDescent="0.2">
      <c r="B1" s="71" t="s">
        <v>135</v>
      </c>
      <c r="C1" s="97" t="s">
        <v>160</v>
      </c>
      <c r="D1" s="98"/>
      <c r="E1" s="98"/>
      <c r="F1" s="98"/>
      <c r="G1" s="98"/>
      <c r="H1" s="98"/>
      <c r="I1" s="98"/>
      <c r="J1" s="98"/>
      <c r="K1" s="98"/>
    </row>
    <row r="2" spans="1:11" ht="27" customHeight="1" x14ac:dyDescent="0.2">
      <c r="A2" s="72"/>
      <c r="B2" s="73" t="s">
        <v>35</v>
      </c>
      <c r="C2" s="74" t="s">
        <v>131</v>
      </c>
    </row>
    <row r="3" spans="1:11" ht="22.5" customHeight="1" x14ac:dyDescent="0.2">
      <c r="A3" s="72"/>
      <c r="B3" s="73" t="s">
        <v>64</v>
      </c>
      <c r="C3" s="73"/>
    </row>
    <row r="4" spans="1:11" ht="29.25" customHeight="1" x14ac:dyDescent="0.2">
      <c r="A4" s="69">
        <v>1</v>
      </c>
      <c r="B4" s="76" t="s">
        <v>136</v>
      </c>
      <c r="C4" s="77">
        <v>3</v>
      </c>
    </row>
    <row r="5" spans="1:11" ht="31.5" customHeight="1" x14ac:dyDescent="0.2">
      <c r="A5" s="69">
        <v>2</v>
      </c>
      <c r="B5" s="76" t="s">
        <v>137</v>
      </c>
      <c r="C5" s="78">
        <v>3</v>
      </c>
    </row>
    <row r="6" spans="1:11" ht="33.75" customHeight="1" x14ac:dyDescent="0.2">
      <c r="A6" s="69">
        <v>3</v>
      </c>
      <c r="B6" s="76" t="s">
        <v>138</v>
      </c>
      <c r="C6" s="78">
        <v>2</v>
      </c>
    </row>
    <row r="7" spans="1:11" ht="33" customHeight="1" x14ac:dyDescent="0.2">
      <c r="A7" s="69"/>
      <c r="B7" s="73" t="s">
        <v>65</v>
      </c>
      <c r="C7" s="73"/>
    </row>
    <row r="8" spans="1:11" ht="35.25" customHeight="1" x14ac:dyDescent="0.2">
      <c r="A8" s="69">
        <v>1</v>
      </c>
      <c r="B8" s="77" t="s">
        <v>143</v>
      </c>
      <c r="C8" s="77">
        <v>5</v>
      </c>
    </row>
    <row r="9" spans="1:11" ht="33" customHeight="1" x14ac:dyDescent="0.2">
      <c r="A9" s="69">
        <v>2</v>
      </c>
      <c r="B9" s="78" t="s">
        <v>144</v>
      </c>
      <c r="C9" s="77">
        <v>5</v>
      </c>
    </row>
    <row r="10" spans="1:11" ht="33" customHeight="1" x14ac:dyDescent="0.2">
      <c r="A10" s="69">
        <v>3</v>
      </c>
      <c r="B10" s="79" t="s">
        <v>139</v>
      </c>
      <c r="C10" s="77">
        <v>5</v>
      </c>
    </row>
    <row r="16" spans="1:11" ht="14" x14ac:dyDescent="0.2">
      <c r="A16" s="72"/>
      <c r="B16" s="73" t="s">
        <v>36</v>
      </c>
      <c r="C16" s="74" t="s">
        <v>131</v>
      </c>
    </row>
    <row r="17" spans="1:3" ht="14" x14ac:dyDescent="0.2">
      <c r="A17" s="72"/>
      <c r="B17" s="73" t="s">
        <v>66</v>
      </c>
      <c r="C17" s="73"/>
    </row>
    <row r="18" spans="1:3" ht="27.75" customHeight="1" x14ac:dyDescent="0.2">
      <c r="A18" s="69"/>
      <c r="B18" s="76" t="s">
        <v>140</v>
      </c>
      <c r="C18" s="78">
        <v>5</v>
      </c>
    </row>
    <row r="19" spans="1:3" ht="29.25" customHeight="1" x14ac:dyDescent="0.2">
      <c r="A19" s="69"/>
      <c r="B19" s="79" t="s">
        <v>141</v>
      </c>
      <c r="C19" s="78">
        <v>4</v>
      </c>
    </row>
    <row r="20" spans="1:3" ht="34.5" customHeight="1" x14ac:dyDescent="0.2">
      <c r="A20" s="69"/>
      <c r="B20" s="79" t="s">
        <v>79</v>
      </c>
      <c r="C20" s="78">
        <v>4</v>
      </c>
    </row>
    <row r="21" spans="1:3" ht="34.5" customHeight="1" x14ac:dyDescent="0.2">
      <c r="A21" s="69"/>
      <c r="B21" s="79" t="s">
        <v>81</v>
      </c>
      <c r="C21" s="78">
        <v>5</v>
      </c>
    </row>
    <row r="22" spans="1:3" ht="34.5" customHeight="1" x14ac:dyDescent="0.2">
      <c r="A22" s="69"/>
      <c r="B22" s="79" t="s">
        <v>76</v>
      </c>
      <c r="C22" s="78">
        <v>5</v>
      </c>
    </row>
    <row r="23" spans="1:3" ht="34.5" customHeight="1" x14ac:dyDescent="0.2">
      <c r="A23" s="69"/>
      <c r="B23" s="79" t="s">
        <v>80</v>
      </c>
      <c r="C23" s="78">
        <v>4</v>
      </c>
    </row>
    <row r="24" spans="1:3" ht="34.5" customHeight="1" x14ac:dyDescent="0.2">
      <c r="A24" s="69"/>
      <c r="B24" s="79" t="s">
        <v>142</v>
      </c>
      <c r="C24" s="78">
        <v>3</v>
      </c>
    </row>
    <row r="25" spans="1:3" ht="34.5" customHeight="1" x14ac:dyDescent="0.2">
      <c r="A25" s="69"/>
      <c r="B25" s="77" t="s">
        <v>143</v>
      </c>
      <c r="C25" s="78" t="str">
        <f>INDEX(SP_Lookup!A15:A19,C8)</f>
        <v>Significant</v>
      </c>
    </row>
    <row r="26" spans="1:3" ht="34.5" customHeight="1" x14ac:dyDescent="0.2">
      <c r="A26" s="69"/>
      <c r="B26" s="79" t="s">
        <v>144</v>
      </c>
      <c r="C26" s="78" t="str">
        <f>INDEX(SP_Lookup!B15:B19,C9)</f>
        <v>Significant</v>
      </c>
    </row>
    <row r="27" spans="1:3" ht="34.5" customHeight="1" x14ac:dyDescent="0.2">
      <c r="A27" s="69"/>
      <c r="B27" s="79" t="s">
        <v>139</v>
      </c>
      <c r="C27" s="78" t="str">
        <f>INDEX(SP_Lookup!C15:C19,C10)</f>
        <v>Significant</v>
      </c>
    </row>
    <row r="28" spans="1:3" ht="34.5" customHeight="1" x14ac:dyDescent="0.2">
      <c r="A28" s="69"/>
      <c r="B28" s="76" t="s">
        <v>38</v>
      </c>
      <c r="C28" s="78" t="str">
        <f>INDEX(SP_Lookup!F15:F19,C4)</f>
        <v>&gt;10 and &lt;30%</v>
      </c>
    </row>
    <row r="29" spans="1:3" ht="34.5" customHeight="1" x14ac:dyDescent="0.2">
      <c r="A29" s="69"/>
      <c r="B29" s="76" t="s">
        <v>44</v>
      </c>
      <c r="C29" s="78" t="str">
        <f>INDEX(SP_Lookup!E15:E19,C5)</f>
        <v>&gt;10 and &lt;30%</v>
      </c>
    </row>
    <row r="30" spans="1:3" ht="34.5" customHeight="1" x14ac:dyDescent="0.2">
      <c r="A30" s="69"/>
      <c r="B30" s="76" t="s">
        <v>138</v>
      </c>
      <c r="C30" s="78" t="str">
        <f>INDEX(SP_Lookup!F15:F19,C6)</f>
        <v>&lt;10%</v>
      </c>
    </row>
    <row r="31" spans="1:3" ht="34.5" customHeight="1" x14ac:dyDescent="0.2">
      <c r="A31" s="69"/>
      <c r="B31" s="73" t="s">
        <v>67</v>
      </c>
      <c r="C31" s="73"/>
    </row>
    <row r="32" spans="1:3" ht="34.5" customHeight="1" x14ac:dyDescent="0.2">
      <c r="A32" s="69"/>
      <c r="B32" s="76" t="s">
        <v>145</v>
      </c>
      <c r="C32" s="77">
        <v>2</v>
      </c>
    </row>
    <row r="33" spans="1:4" ht="34.5" customHeight="1" x14ac:dyDescent="0.2">
      <c r="A33" s="69"/>
      <c r="B33" s="79" t="s">
        <v>83</v>
      </c>
      <c r="C33" s="77">
        <v>2</v>
      </c>
    </row>
    <row r="34" spans="1:4" ht="34.5" customHeight="1" x14ac:dyDescent="0.2">
      <c r="A34" s="69"/>
      <c r="B34" s="80" t="s">
        <v>43</v>
      </c>
      <c r="C34" s="77" t="str">
        <f>INDEX(CS_Lookup!B14:B18,D34)</f>
        <v>&gt;$250M</v>
      </c>
      <c r="D34" s="81">
        <v>5</v>
      </c>
    </row>
    <row r="35" spans="1:4" ht="33.75" customHeight="1" x14ac:dyDescent="0.2">
      <c r="A35" s="69"/>
      <c r="B35" s="80" t="s">
        <v>7</v>
      </c>
      <c r="C35" s="69" t="str">
        <f>INDEX(CS_Lookup!C14:C18,D35)</f>
        <v>Moderate</v>
      </c>
      <c r="D35" s="81">
        <v>4</v>
      </c>
    </row>
    <row r="36" spans="1:4" ht="30" customHeight="1" x14ac:dyDescent="0.2">
      <c r="A36" s="69"/>
      <c r="B36" s="80" t="s">
        <v>8</v>
      </c>
      <c r="C36" s="69" t="str">
        <f>INDEX(CS_Lookup!D14:D18,D36)</f>
        <v>High Cost and Long Time (6+ months)</v>
      </c>
      <c r="D36" s="81">
        <v>5</v>
      </c>
    </row>
    <row r="37" spans="1:4" ht="30" customHeight="1" x14ac:dyDescent="0.2">
      <c r="A37" s="69"/>
      <c r="B37" s="82" t="s">
        <v>148</v>
      </c>
      <c r="C37" s="69" t="str">
        <f>INDEX(CS_Lookup!E14:E18,D37)</f>
        <v>Disastrous</v>
      </c>
      <c r="D37" s="81">
        <v>5</v>
      </c>
    </row>
    <row r="38" spans="1:4" ht="29.25" customHeight="1" x14ac:dyDescent="0.2">
      <c r="A38" s="69"/>
      <c r="B38" s="82" t="s">
        <v>149</v>
      </c>
      <c r="C38" s="69" t="str">
        <f>INDEX(CS_Lookup!F14:F18,D38)</f>
        <v>Few viable (2-5) solutions are available</v>
      </c>
      <c r="D38" s="81">
        <v>4</v>
      </c>
    </row>
    <row r="39" spans="1:4" ht="34.5" customHeight="1" x14ac:dyDescent="0.2">
      <c r="A39" s="69"/>
      <c r="B39" s="82" t="s">
        <v>58</v>
      </c>
      <c r="C39" s="69" t="str">
        <f>INDEX(CS_Lookup!G14:G18,D39)</f>
        <v>Extremely Complex</v>
      </c>
      <c r="D39" s="81">
        <v>5</v>
      </c>
    </row>
    <row r="40" spans="1:4" ht="14" x14ac:dyDescent="0.2">
      <c r="A40" s="69"/>
      <c r="B40" s="82" t="s">
        <v>37</v>
      </c>
      <c r="C40" s="69" t="str">
        <f>INDEX(CS_Lookup!H14:H18,D40)</f>
        <v>Significant</v>
      </c>
      <c r="D40" s="81">
        <v>5</v>
      </c>
    </row>
    <row r="41" spans="1:4" ht="29.25" customHeight="1" x14ac:dyDescent="0.2"/>
    <row r="43" spans="1:4" ht="27.75" customHeight="1" x14ac:dyDescent="0.2"/>
    <row r="44" spans="1:4" ht="30" customHeight="1" x14ac:dyDescent="0.2"/>
    <row r="100" spans="1:7" x14ac:dyDescent="0.2">
      <c r="A100" s="75" t="s">
        <v>153</v>
      </c>
      <c r="B100" s="75">
        <f>INT((((SUM(C4:C6)-3)/12))*24)</f>
        <v>10</v>
      </c>
      <c r="C100" s="75">
        <f>INT(((SUM(C8:C10)-3)/12)*24)</f>
        <v>24</v>
      </c>
      <c r="D100" s="75" t="s">
        <v>128</v>
      </c>
      <c r="E100" s="75" t="s">
        <v>24</v>
      </c>
      <c r="F100" s="75" t="str">
        <f>IF(B100 &lt; 12, IF(C100 &gt; 12, "Develop", "Nuisance"), IF(C100 &gt; 12, "Core", "Exploit"))</f>
        <v>Develop</v>
      </c>
      <c r="G100" s="75" t="str">
        <f>VLOOKUP(F100,SS_Lookup!$A$11:$E$15,MATCH(E100,SS_Lookup!$A$11:$E$11,0),FALSE)</f>
        <v>Preferred</v>
      </c>
    </row>
    <row r="101" spans="1:7" x14ac:dyDescent="0.2">
      <c r="A101" s="75" t="s">
        <v>153</v>
      </c>
      <c r="B101" s="75">
        <f>((SUM(C18:C24) + SUM(C8:C10) + SUM(C4:C6) - 13)/64)*100</f>
        <v>62.5</v>
      </c>
      <c r="C101" s="75">
        <f>((SUM(C32:C33) + SUM(D34:D40) -9)/36)*100</f>
        <v>77.777777777777786</v>
      </c>
      <c r="D101" s="75" t="s">
        <v>128</v>
      </c>
    </row>
    <row r="103" spans="1:7" x14ac:dyDescent="0.2">
      <c r="B103" s="83"/>
    </row>
  </sheetData>
  <mergeCells count="1">
    <mergeCell ref="C1:K1"/>
  </mergeCells>
  <pageMargins left="0.7" right="0.7" top="0.75" bottom="0.75" header="0.3" footer="0.3"/>
  <pageSetup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Drop Down 1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7</xdr:row>
                    <xdr:rowOff>76200</xdr:rowOff>
                  </from>
                  <to>
                    <xdr:col>3</xdr:col>
                    <xdr:colOff>25400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4" name="Drop Down 2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8</xdr:row>
                    <xdr:rowOff>50800</xdr:rowOff>
                  </from>
                  <to>
                    <xdr:col>3</xdr:col>
                    <xdr:colOff>25400</xdr:colOff>
                    <xdr:row>8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5" name="Drop Down 3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9</xdr:row>
                    <xdr:rowOff>50800</xdr:rowOff>
                  </from>
                  <to>
                    <xdr:col>3</xdr:col>
                    <xdr:colOff>25400</xdr:colOff>
                    <xdr:row>9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6" name="Drop Down 4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2</xdr:row>
                    <xdr:rowOff>279400</xdr:rowOff>
                  </from>
                  <to>
                    <xdr:col>3</xdr:col>
                    <xdr:colOff>25400</xdr:colOff>
                    <xdr:row>3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7" name="Drop Down 5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4</xdr:row>
                    <xdr:rowOff>25400</xdr:rowOff>
                  </from>
                  <to>
                    <xdr:col>3</xdr:col>
                    <xdr:colOff>25400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8" name="Drop Down 6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5</xdr:row>
                    <xdr:rowOff>38100</xdr:rowOff>
                  </from>
                  <to>
                    <xdr:col>3</xdr:col>
                    <xdr:colOff>25400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9" name="Drop Down 7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16</xdr:row>
                    <xdr:rowOff>254000</xdr:rowOff>
                  </from>
                  <to>
                    <xdr:col>3</xdr:col>
                    <xdr:colOff>25400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0" name="Drop Down 8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18</xdr:row>
                    <xdr:rowOff>63500</xdr:rowOff>
                  </from>
                  <to>
                    <xdr:col>3</xdr:col>
                    <xdr:colOff>25400</xdr:colOff>
                    <xdr:row>19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1" name="Drop Down 9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19</xdr:row>
                    <xdr:rowOff>63500</xdr:rowOff>
                  </from>
                  <to>
                    <xdr:col>3</xdr:col>
                    <xdr:colOff>25400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2" name="Drop Down 10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20</xdr:row>
                    <xdr:rowOff>63500</xdr:rowOff>
                  </from>
                  <to>
                    <xdr:col>3</xdr:col>
                    <xdr:colOff>25400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3" name="Drop Down 11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21</xdr:row>
                    <xdr:rowOff>63500</xdr:rowOff>
                  </from>
                  <to>
                    <xdr:col>3</xdr:col>
                    <xdr:colOff>25400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4" name="Drop Down 12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22</xdr:row>
                    <xdr:rowOff>63500</xdr:rowOff>
                  </from>
                  <to>
                    <xdr:col>3</xdr:col>
                    <xdr:colOff>25400</xdr:colOff>
                    <xdr:row>22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5" name="Drop Down 13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23</xdr:row>
                    <xdr:rowOff>63500</xdr:rowOff>
                  </from>
                  <to>
                    <xdr:col>3</xdr:col>
                    <xdr:colOff>25400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6" name="Drop Down 14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31</xdr:row>
                    <xdr:rowOff>12700</xdr:rowOff>
                  </from>
                  <to>
                    <xdr:col>3</xdr:col>
                    <xdr:colOff>25400</xdr:colOff>
                    <xdr:row>31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7" name="Drop Down 15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32</xdr:row>
                    <xdr:rowOff>12700</xdr:rowOff>
                  </from>
                  <to>
                    <xdr:col>3</xdr:col>
                    <xdr:colOff>25400</xdr:colOff>
                    <xdr:row>32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/>
  <dimension ref="A1:K103"/>
  <sheetViews>
    <sheetView workbookViewId="0">
      <selection activeCell="B4" sqref="B4"/>
    </sheetView>
  </sheetViews>
  <sheetFormatPr baseColWidth="10" defaultColWidth="8.83203125" defaultRowHeight="16" x14ac:dyDescent="0.2"/>
  <cols>
    <col min="2" max="2" width="81.1640625" customWidth="1"/>
    <col min="3" max="3" width="37.1640625" customWidth="1"/>
    <col min="7" max="7" width="16" customWidth="1"/>
    <col min="9" max="9" width="19.6640625" customWidth="1"/>
  </cols>
  <sheetData>
    <row r="1" spans="1:11" s="45" customFormat="1" ht="31.5" customHeight="1" x14ac:dyDescent="0.35">
      <c r="B1" s="58"/>
      <c r="C1" s="99" t="s">
        <v>72</v>
      </c>
      <c r="D1" s="100"/>
      <c r="E1" s="100"/>
      <c r="F1" s="100"/>
      <c r="G1" s="100"/>
      <c r="H1" s="100"/>
      <c r="I1" s="100"/>
      <c r="J1" s="100"/>
      <c r="K1" s="100"/>
    </row>
    <row r="2" spans="1:11" ht="27" customHeight="1" x14ac:dyDescent="0.25">
      <c r="A2" s="59"/>
      <c r="B2" s="56" t="s">
        <v>35</v>
      </c>
      <c r="C2" s="43" t="s">
        <v>46</v>
      </c>
    </row>
    <row r="3" spans="1:11" ht="22.5" customHeight="1" x14ac:dyDescent="0.25">
      <c r="A3" s="59"/>
      <c r="B3" s="56" t="s">
        <v>64</v>
      </c>
      <c r="C3" s="56"/>
    </row>
    <row r="4" spans="1:11" ht="29.25" customHeight="1" x14ac:dyDescent="0.2">
      <c r="A4" s="53">
        <v>1</v>
      </c>
      <c r="B4" s="66" t="s">
        <v>125</v>
      </c>
      <c r="C4" s="18">
        <v>1</v>
      </c>
    </row>
    <row r="5" spans="1:11" ht="31.5" customHeight="1" x14ac:dyDescent="0.2">
      <c r="A5" s="53">
        <v>2</v>
      </c>
      <c r="B5" s="66" t="s">
        <v>126</v>
      </c>
      <c r="C5" s="19">
        <v>1</v>
      </c>
    </row>
    <row r="6" spans="1:11" ht="33.75" customHeight="1" x14ac:dyDescent="0.2">
      <c r="A6" s="53">
        <v>3</v>
      </c>
      <c r="B6" s="66" t="s">
        <v>68</v>
      </c>
      <c r="C6" s="19">
        <v>1</v>
      </c>
    </row>
    <row r="7" spans="1:11" ht="33" customHeight="1" x14ac:dyDescent="0.25">
      <c r="A7" s="3"/>
      <c r="B7" s="56" t="s">
        <v>65</v>
      </c>
      <c r="C7" s="56"/>
    </row>
    <row r="8" spans="1:11" ht="35.25" customHeight="1" x14ac:dyDescent="0.2">
      <c r="A8" s="53">
        <v>1</v>
      </c>
      <c r="B8" s="64" t="s">
        <v>91</v>
      </c>
      <c r="C8" s="18">
        <v>1</v>
      </c>
    </row>
    <row r="9" spans="1:11" ht="33" customHeight="1" x14ac:dyDescent="0.2">
      <c r="A9" s="53">
        <v>2</v>
      </c>
      <c r="B9" s="19" t="s">
        <v>85</v>
      </c>
      <c r="C9" s="18">
        <v>1</v>
      </c>
    </row>
    <row r="10" spans="1:11" ht="33" customHeight="1" x14ac:dyDescent="0.2">
      <c r="A10" s="53">
        <v>3</v>
      </c>
      <c r="B10" s="67" t="s">
        <v>71</v>
      </c>
      <c r="C10" s="18">
        <v>1</v>
      </c>
    </row>
    <row r="16" spans="1:11" ht="22" x14ac:dyDescent="0.25">
      <c r="A16" s="59"/>
      <c r="B16" s="56" t="s">
        <v>36</v>
      </c>
      <c r="C16" s="43" t="s">
        <v>46</v>
      </c>
    </row>
    <row r="17" spans="1:3" ht="22" x14ac:dyDescent="0.25">
      <c r="A17" s="59"/>
      <c r="B17" s="56" t="s">
        <v>66</v>
      </c>
      <c r="C17" s="56"/>
    </row>
    <row r="18" spans="1:3" ht="27.75" customHeight="1" x14ac:dyDescent="0.2">
      <c r="A18" s="53"/>
      <c r="B18" s="66" t="s">
        <v>77</v>
      </c>
      <c r="C18" s="19">
        <v>1</v>
      </c>
    </row>
    <row r="19" spans="1:3" ht="29.25" customHeight="1" x14ac:dyDescent="0.2">
      <c r="A19" s="53"/>
      <c r="B19" s="67" t="s">
        <v>78</v>
      </c>
      <c r="C19" s="19">
        <v>1</v>
      </c>
    </row>
    <row r="20" spans="1:3" ht="34.5" customHeight="1" x14ac:dyDescent="0.2">
      <c r="A20" s="53"/>
      <c r="B20" s="67" t="s">
        <v>79</v>
      </c>
      <c r="C20" s="19">
        <v>1</v>
      </c>
    </row>
    <row r="21" spans="1:3" ht="34.5" customHeight="1" x14ac:dyDescent="0.2">
      <c r="A21" s="53"/>
      <c r="B21" s="67" t="s">
        <v>81</v>
      </c>
      <c r="C21" s="19">
        <v>1</v>
      </c>
    </row>
    <row r="22" spans="1:3" ht="34.5" customHeight="1" x14ac:dyDescent="0.2">
      <c r="A22" s="53"/>
      <c r="B22" s="67" t="s">
        <v>76</v>
      </c>
      <c r="C22" s="19">
        <v>1</v>
      </c>
    </row>
    <row r="23" spans="1:3" ht="34.5" customHeight="1" x14ac:dyDescent="0.2">
      <c r="A23" s="53"/>
      <c r="B23" s="67" t="s">
        <v>80</v>
      </c>
      <c r="C23" s="19">
        <v>1</v>
      </c>
    </row>
    <row r="24" spans="1:3" ht="34.5" customHeight="1" x14ac:dyDescent="0.2">
      <c r="A24" s="53"/>
      <c r="B24" s="67" t="s">
        <v>127</v>
      </c>
      <c r="C24" s="19">
        <v>1</v>
      </c>
    </row>
    <row r="25" spans="1:3" ht="34.5" customHeight="1" x14ac:dyDescent="0.2">
      <c r="A25" s="53"/>
      <c r="B25" s="64" t="s">
        <v>91</v>
      </c>
      <c r="C25" s="19" t="str">
        <f>INDEX(SP_Lookup!A15:A19,C8)</f>
        <v xml:space="preserve">** Choose Value ** </v>
      </c>
    </row>
    <row r="26" spans="1:3" ht="34.5" customHeight="1" x14ac:dyDescent="0.2">
      <c r="A26" s="53"/>
      <c r="B26" s="67" t="s">
        <v>86</v>
      </c>
      <c r="C26" s="19" t="str">
        <f>INDEX(SP_Lookup!B15:B19,C9)</f>
        <v xml:space="preserve">** Choose Value ** </v>
      </c>
    </row>
    <row r="27" spans="1:3" ht="34.5" customHeight="1" x14ac:dyDescent="0.2">
      <c r="A27" s="53"/>
      <c r="B27" s="67" t="s">
        <v>71</v>
      </c>
      <c r="C27" s="19" t="str">
        <f>INDEX(SP_Lookup!C15:C19,C10)</f>
        <v xml:space="preserve">** Choose Value ** </v>
      </c>
    </row>
    <row r="28" spans="1:3" ht="34.5" customHeight="1" x14ac:dyDescent="0.2">
      <c r="A28" s="53"/>
      <c r="B28" s="66" t="s">
        <v>38</v>
      </c>
      <c r="C28" s="19" t="str">
        <f>INDEX(SP_Lookup!F15:F19,C4)</f>
        <v xml:space="preserve">** Choose Value ** </v>
      </c>
    </row>
    <row r="29" spans="1:3" ht="34.5" customHeight="1" x14ac:dyDescent="0.2">
      <c r="A29" s="53"/>
      <c r="B29" s="66" t="s">
        <v>44</v>
      </c>
      <c r="C29" s="19" t="str">
        <f>INDEX(SP_Lookup!E15:E19,C5)</f>
        <v xml:space="preserve">** Choose Value ** </v>
      </c>
    </row>
    <row r="30" spans="1:3" ht="34.5" customHeight="1" x14ac:dyDescent="0.2">
      <c r="A30" s="53"/>
      <c r="B30" s="66" t="s">
        <v>68</v>
      </c>
      <c r="C30" s="19" t="str">
        <f>INDEX(SP_Lookup!F15:F19,C6)</f>
        <v xml:space="preserve">** Choose Value ** </v>
      </c>
    </row>
    <row r="31" spans="1:3" ht="34.5" customHeight="1" x14ac:dyDescent="0.25">
      <c r="A31" s="53"/>
      <c r="B31" s="56" t="s">
        <v>67</v>
      </c>
      <c r="C31" s="56"/>
    </row>
    <row r="32" spans="1:3" ht="34.5" customHeight="1" x14ac:dyDescent="0.2">
      <c r="A32" s="53"/>
      <c r="B32" s="66" t="s">
        <v>82</v>
      </c>
      <c r="C32" s="60">
        <v>1</v>
      </c>
    </row>
    <row r="33" spans="1:4" ht="34.5" customHeight="1" x14ac:dyDescent="0.2">
      <c r="A33" s="53"/>
      <c r="B33" s="67" t="s">
        <v>83</v>
      </c>
      <c r="C33" s="60">
        <v>1</v>
      </c>
    </row>
    <row r="34" spans="1:4" ht="34.5" customHeight="1" x14ac:dyDescent="0.2">
      <c r="A34" s="3"/>
      <c r="B34" s="52" t="s">
        <v>43</v>
      </c>
      <c r="C34" s="60" t="str">
        <f>INDEX(CS_Lookup!B14:B18,D34)</f>
        <v xml:space="preserve">** Choose Value ** </v>
      </c>
      <c r="D34" s="44">
        <v>1</v>
      </c>
    </row>
    <row r="35" spans="1:4" ht="33.75" customHeight="1" x14ac:dyDescent="0.2">
      <c r="A35" s="3"/>
      <c r="B35" s="52" t="s">
        <v>7</v>
      </c>
      <c r="C35" s="61" t="str">
        <f>INDEX(CS_Lookup!C14:C18,D35)</f>
        <v xml:space="preserve">** Choose Value ** </v>
      </c>
      <c r="D35" s="44">
        <v>1</v>
      </c>
    </row>
    <row r="36" spans="1:4" ht="30" customHeight="1" x14ac:dyDescent="0.2">
      <c r="A36" s="3"/>
      <c r="B36" s="52" t="s">
        <v>8</v>
      </c>
      <c r="C36" s="61" t="str">
        <f>INDEX(CS_Lookup!D14:D18,D36)</f>
        <v xml:space="preserve">** Choose Value ** </v>
      </c>
      <c r="D36" s="44">
        <v>1</v>
      </c>
    </row>
    <row r="37" spans="1:4" ht="30" customHeight="1" x14ac:dyDescent="0.2">
      <c r="A37" s="3"/>
      <c r="B37" s="12" t="s">
        <v>74</v>
      </c>
      <c r="C37" s="61" t="str">
        <f>INDEX(CS_Lookup!E14:E18,D37)</f>
        <v xml:space="preserve">** Choose Value ** </v>
      </c>
      <c r="D37" s="44">
        <v>1</v>
      </c>
    </row>
    <row r="38" spans="1:4" ht="29.25" customHeight="1" x14ac:dyDescent="0.2">
      <c r="A38" s="3"/>
      <c r="B38" s="12" t="s">
        <v>53</v>
      </c>
      <c r="C38" s="61" t="str">
        <f>INDEX(CS_Lookup!F14:F18,D38)</f>
        <v xml:space="preserve">** Choose Value ** </v>
      </c>
      <c r="D38" s="44">
        <v>1</v>
      </c>
    </row>
    <row r="39" spans="1:4" ht="34.5" customHeight="1" x14ac:dyDescent="0.2">
      <c r="A39" s="3"/>
      <c r="B39" s="12" t="s">
        <v>58</v>
      </c>
      <c r="C39" s="61" t="str">
        <f>INDEX(CS_Lookup!G14:G18,D39)</f>
        <v xml:space="preserve">** Choose Value ** </v>
      </c>
      <c r="D39" s="44">
        <v>1</v>
      </c>
    </row>
    <row r="40" spans="1:4" x14ac:dyDescent="0.2">
      <c r="A40" s="3"/>
      <c r="B40" s="12" t="s">
        <v>37</v>
      </c>
      <c r="C40" s="61" t="str">
        <f>INDEX(CS_Lookup!H14:H18,D40)</f>
        <v xml:space="preserve">** Choose Value ** </v>
      </c>
      <c r="D40" s="44">
        <v>1</v>
      </c>
    </row>
    <row r="41" spans="1:4" ht="29.25" customHeight="1" x14ac:dyDescent="0.2"/>
    <row r="43" spans="1:4" ht="27.75" customHeight="1" x14ac:dyDescent="0.2"/>
    <row r="44" spans="1:4" ht="30" customHeight="1" x14ac:dyDescent="0.2"/>
    <row r="100" spans="2:7" x14ac:dyDescent="0.2">
      <c r="B100">
        <f>INT((((SUM(C4:C6)-3)/12))*24)</f>
        <v>0</v>
      </c>
      <c r="C100">
        <f>INT(((SUM(C8:C10)-3)/12)*24)</f>
        <v>0</v>
      </c>
      <c r="F100" t="str">
        <f>IF(B100 &lt; 12, IF(C100 &gt; 12, "Develop", "Nuisance"), IF(C100 &gt; 12, "Core", "Exploit"))</f>
        <v>Nuisance</v>
      </c>
      <c r="G100" t="e">
        <f>VLOOKUP(F100,SS_Lookup!$A$11:$E$15,MATCH(E100,SS_Lookup!$A$11:$E$11,0),FALSE)</f>
        <v>#N/A</v>
      </c>
    </row>
    <row r="101" spans="2:7" x14ac:dyDescent="0.2">
      <c r="B101">
        <f>((SUM(C18:C24) + SUM(C8:C10) + SUM(C4:C6) - 13)/64)*100</f>
        <v>0</v>
      </c>
      <c r="C101">
        <f>((SUM(C32:C33) + SUM(D34:D40) -9)/36)*100</f>
        <v>0</v>
      </c>
    </row>
    <row r="103" spans="2:7" x14ac:dyDescent="0.2">
      <c r="B103" s="63"/>
    </row>
  </sheetData>
  <mergeCells count="1">
    <mergeCell ref="C1:K1"/>
  </mergeCells>
  <pageMargins left="0.7" right="0.7" top="0.75" bottom="0.75" header="0.3" footer="0.3"/>
  <pageSetup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Drop Down 1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7</xdr:row>
                    <xdr:rowOff>76200</xdr:rowOff>
                  </from>
                  <to>
                    <xdr:col>3</xdr:col>
                    <xdr:colOff>25400</xdr:colOff>
                    <xdr:row>7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Drop Down 2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8</xdr:row>
                    <xdr:rowOff>50800</xdr:rowOff>
                  </from>
                  <to>
                    <xdr:col>3</xdr:col>
                    <xdr:colOff>25400</xdr:colOff>
                    <xdr:row>8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5" name="Drop Down 3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9</xdr:row>
                    <xdr:rowOff>50800</xdr:rowOff>
                  </from>
                  <to>
                    <xdr:col>3</xdr:col>
                    <xdr:colOff>25400</xdr:colOff>
                    <xdr:row>9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6" name="Drop Down 5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2</xdr:row>
                    <xdr:rowOff>279400</xdr:rowOff>
                  </from>
                  <to>
                    <xdr:col>3</xdr:col>
                    <xdr:colOff>25400</xdr:colOff>
                    <xdr:row>3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7" name="Drop Down 6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4</xdr:row>
                    <xdr:rowOff>25400</xdr:rowOff>
                  </from>
                  <to>
                    <xdr:col>3</xdr:col>
                    <xdr:colOff>25400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8" name="Drop Down 7">
              <controlPr defaultSize="0" autoLine="0" autoPict="0" macro="[0]!SP_DropDown_Change">
                <anchor moveWithCells="1">
                  <from>
                    <xdr:col>2</xdr:col>
                    <xdr:colOff>12700</xdr:colOff>
                    <xdr:row>5</xdr:row>
                    <xdr:rowOff>38100</xdr:rowOff>
                  </from>
                  <to>
                    <xdr:col>3</xdr:col>
                    <xdr:colOff>25400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9" name="Drop Down 15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16</xdr:row>
                    <xdr:rowOff>254000</xdr:rowOff>
                  </from>
                  <to>
                    <xdr:col>3</xdr:col>
                    <xdr:colOff>25400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0" name="Drop Down 16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18</xdr:row>
                    <xdr:rowOff>63500</xdr:rowOff>
                  </from>
                  <to>
                    <xdr:col>3</xdr:col>
                    <xdr:colOff>25400</xdr:colOff>
                    <xdr:row>19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11" name="Drop Down 17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19</xdr:row>
                    <xdr:rowOff>63500</xdr:rowOff>
                  </from>
                  <to>
                    <xdr:col>3</xdr:col>
                    <xdr:colOff>25400</xdr:colOff>
                    <xdr:row>19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12" name="Drop Down 18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20</xdr:row>
                    <xdr:rowOff>63500</xdr:rowOff>
                  </from>
                  <to>
                    <xdr:col>3</xdr:col>
                    <xdr:colOff>25400</xdr:colOff>
                    <xdr:row>20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13" name="Drop Down 19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21</xdr:row>
                    <xdr:rowOff>63500</xdr:rowOff>
                  </from>
                  <to>
                    <xdr:col>3</xdr:col>
                    <xdr:colOff>25400</xdr:colOff>
                    <xdr:row>21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14" name="Drop Down 20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22</xdr:row>
                    <xdr:rowOff>63500</xdr:rowOff>
                  </from>
                  <to>
                    <xdr:col>3</xdr:col>
                    <xdr:colOff>25400</xdr:colOff>
                    <xdr:row>22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15" name="Drop Down 21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23</xdr:row>
                    <xdr:rowOff>63500</xdr:rowOff>
                  </from>
                  <to>
                    <xdr:col>3</xdr:col>
                    <xdr:colOff>25400</xdr:colOff>
                    <xdr:row>23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16" name="Drop Down 25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31</xdr:row>
                    <xdr:rowOff>12700</xdr:rowOff>
                  </from>
                  <to>
                    <xdr:col>3</xdr:col>
                    <xdr:colOff>25400</xdr:colOff>
                    <xdr:row>31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17" name="Drop Down 27">
              <controlPr defaultSize="0" autoLine="0" autoPict="0" macro="[0]!RM_DropDown_Change">
                <anchor moveWithCells="1">
                  <from>
                    <xdr:col>2</xdr:col>
                    <xdr:colOff>12700</xdr:colOff>
                    <xdr:row>32</xdr:row>
                    <xdr:rowOff>12700</xdr:rowOff>
                  </from>
                  <to>
                    <xdr:col>3</xdr:col>
                    <xdr:colOff>25400</xdr:colOff>
                    <xdr:row>32</xdr:row>
                    <xdr:rowOff>368300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H18"/>
  <sheetViews>
    <sheetView zoomScale="80" zoomScaleNormal="80" zoomScalePageLayoutView="80" workbookViewId="0">
      <selection activeCell="B3" sqref="B3"/>
    </sheetView>
  </sheetViews>
  <sheetFormatPr baseColWidth="10" defaultColWidth="8.83203125" defaultRowHeight="16" x14ac:dyDescent="0.2"/>
  <cols>
    <col min="2" max="2" width="49.33203125" customWidth="1"/>
    <col min="7" max="7" width="50.6640625" customWidth="1"/>
  </cols>
  <sheetData>
    <row r="1" spans="1:8" ht="46.5" customHeight="1" x14ac:dyDescent="0.25">
      <c r="A1" s="2"/>
      <c r="B1" s="48" t="s">
        <v>3</v>
      </c>
      <c r="C1" s="55">
        <v>1</v>
      </c>
      <c r="D1" s="55">
        <v>2</v>
      </c>
      <c r="E1" s="55">
        <v>3</v>
      </c>
      <c r="F1" s="55">
        <v>4</v>
      </c>
      <c r="G1" s="56" t="s">
        <v>18</v>
      </c>
    </row>
    <row r="2" spans="1:8" ht="27" customHeight="1" x14ac:dyDescent="0.25">
      <c r="A2" s="2"/>
      <c r="B2" s="48" t="s">
        <v>47</v>
      </c>
      <c r="C2" s="55"/>
      <c r="D2" s="55"/>
      <c r="E2" s="55"/>
      <c r="F2" s="57"/>
      <c r="G2" s="48"/>
    </row>
    <row r="3" spans="1:8" ht="32.25" customHeight="1" x14ac:dyDescent="0.2">
      <c r="A3" s="3">
        <v>1</v>
      </c>
      <c r="B3" s="65" t="s">
        <v>123</v>
      </c>
      <c r="C3" s="5" t="s">
        <v>4</v>
      </c>
      <c r="D3" s="5" t="s">
        <v>5</v>
      </c>
      <c r="E3" s="3" t="s">
        <v>1</v>
      </c>
      <c r="F3" s="6" t="s">
        <v>6</v>
      </c>
      <c r="G3" s="4"/>
    </row>
    <row r="4" spans="1:8" ht="75" customHeight="1" x14ac:dyDescent="0.2">
      <c r="A4" s="3">
        <v>2</v>
      </c>
      <c r="B4" s="65" t="s">
        <v>43</v>
      </c>
      <c r="C4" s="7" t="s">
        <v>60</v>
      </c>
      <c r="D4" s="7" t="s">
        <v>61</v>
      </c>
      <c r="E4" s="7" t="s">
        <v>62</v>
      </c>
      <c r="F4" s="8" t="s">
        <v>63</v>
      </c>
    </row>
    <row r="5" spans="1:8" ht="48" x14ac:dyDescent="0.2">
      <c r="A5" s="3">
        <v>3</v>
      </c>
      <c r="B5" s="65" t="s">
        <v>87</v>
      </c>
      <c r="C5" s="5" t="s">
        <v>4</v>
      </c>
      <c r="D5" s="5" t="s">
        <v>5</v>
      </c>
      <c r="E5" s="3" t="s">
        <v>1</v>
      </c>
      <c r="F5" s="6" t="s">
        <v>6</v>
      </c>
      <c r="G5" s="4"/>
    </row>
    <row r="6" spans="1:8" ht="22" x14ac:dyDescent="0.25">
      <c r="A6" s="49"/>
      <c r="B6" s="50" t="s">
        <v>48</v>
      </c>
      <c r="C6" s="9"/>
      <c r="D6" s="5"/>
      <c r="E6" s="9"/>
      <c r="F6" s="10"/>
      <c r="G6" s="4"/>
    </row>
    <row r="7" spans="1:8" ht="51" customHeight="1" x14ac:dyDescent="0.2">
      <c r="A7" s="3">
        <v>1</v>
      </c>
      <c r="B7" s="65" t="s">
        <v>124</v>
      </c>
      <c r="C7" s="11" t="s">
        <v>49</v>
      </c>
      <c r="D7" s="11" t="s">
        <v>50</v>
      </c>
      <c r="E7" s="5" t="s">
        <v>51</v>
      </c>
      <c r="F7" s="5" t="s">
        <v>52</v>
      </c>
      <c r="G7" s="4" t="s">
        <v>9</v>
      </c>
    </row>
    <row r="8" spans="1:8" ht="48" x14ac:dyDescent="0.2">
      <c r="A8" s="3">
        <v>2</v>
      </c>
      <c r="B8" s="12" t="s">
        <v>88</v>
      </c>
      <c r="C8" s="5" t="s">
        <v>0</v>
      </c>
      <c r="D8" s="5" t="s">
        <v>1</v>
      </c>
      <c r="E8" s="5" t="s">
        <v>59</v>
      </c>
      <c r="F8" s="10" t="s">
        <v>2</v>
      </c>
      <c r="G8" s="4"/>
    </row>
    <row r="9" spans="1:8" ht="45.75" customHeight="1" x14ac:dyDescent="0.2">
      <c r="A9" s="3">
        <v>3</v>
      </c>
      <c r="B9" s="12" t="s">
        <v>53</v>
      </c>
      <c r="C9" s="10" t="s">
        <v>55</v>
      </c>
      <c r="D9" s="10" t="s">
        <v>56</v>
      </c>
      <c r="E9" s="5" t="s">
        <v>57</v>
      </c>
      <c r="F9" s="10" t="s">
        <v>54</v>
      </c>
      <c r="G9" s="4" t="s">
        <v>13</v>
      </c>
    </row>
    <row r="10" spans="1:8" ht="37.5" customHeight="1" x14ac:dyDescent="0.2">
      <c r="A10" s="3">
        <v>4</v>
      </c>
      <c r="B10" s="12" t="s">
        <v>58</v>
      </c>
      <c r="C10" s="13" t="s">
        <v>14</v>
      </c>
      <c r="D10" s="14" t="s">
        <v>89</v>
      </c>
      <c r="E10" s="14" t="s">
        <v>90</v>
      </c>
      <c r="F10" s="15" t="s">
        <v>15</v>
      </c>
      <c r="G10" s="4"/>
    </row>
    <row r="11" spans="1:8" ht="30" customHeight="1" x14ac:dyDescent="0.2">
      <c r="A11" s="3">
        <v>5</v>
      </c>
      <c r="B11" s="12" t="s">
        <v>37</v>
      </c>
      <c r="C11" s="16" t="s">
        <v>16</v>
      </c>
      <c r="D11" s="16" t="s">
        <v>5</v>
      </c>
      <c r="E11" s="14" t="s">
        <v>1</v>
      </c>
      <c r="F11" s="15" t="s">
        <v>6</v>
      </c>
      <c r="G11" s="4"/>
    </row>
    <row r="14" spans="1:8" x14ac:dyDescent="0.2">
      <c r="A14" t="s">
        <v>40</v>
      </c>
      <c r="B14" t="s">
        <v>40</v>
      </c>
      <c r="C14" t="s">
        <v>40</v>
      </c>
      <c r="D14" t="s">
        <v>40</v>
      </c>
      <c r="E14" t="s">
        <v>40</v>
      </c>
      <c r="F14" t="s">
        <v>40</v>
      </c>
      <c r="G14" t="s">
        <v>40</v>
      </c>
      <c r="H14" t="s">
        <v>40</v>
      </c>
    </row>
    <row r="15" spans="1:8" ht="102" x14ac:dyDescent="0.2">
      <c r="A15" s="5" t="s">
        <v>4</v>
      </c>
      <c r="B15" s="7" t="s">
        <v>60</v>
      </c>
      <c r="C15" s="5" t="s">
        <v>4</v>
      </c>
      <c r="D15" s="11" t="s">
        <v>49</v>
      </c>
      <c r="E15" s="5" t="s">
        <v>0</v>
      </c>
      <c r="F15" s="10" t="s">
        <v>55</v>
      </c>
      <c r="G15" s="13" t="s">
        <v>14</v>
      </c>
      <c r="H15" s="16" t="s">
        <v>16</v>
      </c>
    </row>
    <row r="16" spans="1:8" ht="153" x14ac:dyDescent="0.2">
      <c r="A16" s="5" t="s">
        <v>5</v>
      </c>
      <c r="B16" s="7" t="s">
        <v>61</v>
      </c>
      <c r="C16" s="5" t="s">
        <v>5</v>
      </c>
      <c r="D16" s="11" t="s">
        <v>50</v>
      </c>
      <c r="E16" s="5" t="s">
        <v>1</v>
      </c>
      <c r="F16" s="10" t="s">
        <v>56</v>
      </c>
      <c r="G16" s="14" t="s">
        <v>89</v>
      </c>
      <c r="H16" s="16" t="s">
        <v>5</v>
      </c>
    </row>
    <row r="17" spans="1:8" ht="102" x14ac:dyDescent="0.2">
      <c r="A17" s="3" t="s">
        <v>1</v>
      </c>
      <c r="B17" s="7" t="s">
        <v>62</v>
      </c>
      <c r="C17" s="3" t="s">
        <v>1</v>
      </c>
      <c r="D17" s="5" t="s">
        <v>51</v>
      </c>
      <c r="E17" s="5" t="s">
        <v>59</v>
      </c>
      <c r="F17" s="5" t="s">
        <v>57</v>
      </c>
      <c r="G17" s="14" t="s">
        <v>90</v>
      </c>
      <c r="H17" s="14" t="s">
        <v>1</v>
      </c>
    </row>
    <row r="18" spans="1:8" ht="68" x14ac:dyDescent="0.2">
      <c r="A18" s="6" t="s">
        <v>6</v>
      </c>
      <c r="B18" s="8" t="s">
        <v>63</v>
      </c>
      <c r="C18" s="6" t="s">
        <v>6</v>
      </c>
      <c r="D18" s="5" t="s">
        <v>52</v>
      </c>
      <c r="E18" s="10" t="s">
        <v>2</v>
      </c>
      <c r="F18" s="10" t="s">
        <v>54</v>
      </c>
      <c r="G18" s="15" t="s">
        <v>15</v>
      </c>
      <c r="H18" s="15" t="s">
        <v>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J19"/>
  <sheetViews>
    <sheetView workbookViewId="0">
      <selection activeCell="B7" sqref="B7"/>
    </sheetView>
  </sheetViews>
  <sheetFormatPr baseColWidth="10" defaultColWidth="8.83203125" defaultRowHeight="16" x14ac:dyDescent="0.2"/>
  <cols>
    <col min="2" max="2" width="46.1640625" customWidth="1"/>
    <col min="7" max="7" width="16" customWidth="1"/>
    <col min="9" max="9" width="19.6640625" customWidth="1"/>
  </cols>
  <sheetData>
    <row r="1" spans="1:10" ht="44.25" customHeight="1" x14ac:dyDescent="0.25">
      <c r="A1" s="17"/>
      <c r="B1" s="56" t="s">
        <v>17</v>
      </c>
      <c r="C1" s="55">
        <v>1</v>
      </c>
      <c r="D1" s="55">
        <v>2</v>
      </c>
      <c r="E1" s="55">
        <v>3</v>
      </c>
      <c r="F1" s="55">
        <v>4</v>
      </c>
      <c r="G1" s="56" t="s">
        <v>18</v>
      </c>
    </row>
    <row r="2" spans="1:10" ht="28.5" customHeight="1" x14ac:dyDescent="0.25">
      <c r="A2" s="17"/>
      <c r="B2" s="56" t="s">
        <v>65</v>
      </c>
      <c r="C2" s="55"/>
      <c r="D2" s="55"/>
      <c r="E2" s="55"/>
      <c r="F2" s="62"/>
      <c r="G2" s="48"/>
    </row>
    <row r="3" spans="1:10" ht="27" customHeight="1" x14ac:dyDescent="0.2">
      <c r="A3" s="3">
        <v>1</v>
      </c>
      <c r="B3" s="64" t="s">
        <v>84</v>
      </c>
      <c r="C3" s="5" t="s">
        <v>4</v>
      </c>
      <c r="D3" s="5" t="s">
        <v>5</v>
      </c>
      <c r="E3" s="3" t="s">
        <v>1</v>
      </c>
      <c r="F3" s="6" t="s">
        <v>6</v>
      </c>
      <c r="G3" s="4"/>
    </row>
    <row r="4" spans="1:10" ht="51" customHeight="1" x14ac:dyDescent="0.2">
      <c r="A4" s="3">
        <v>2</v>
      </c>
      <c r="B4" s="19" t="s">
        <v>85</v>
      </c>
      <c r="C4" s="5" t="s">
        <v>4</v>
      </c>
      <c r="D4" s="5" t="s">
        <v>5</v>
      </c>
      <c r="E4" s="3" t="s">
        <v>1</v>
      </c>
      <c r="F4" s="6" t="s">
        <v>6</v>
      </c>
      <c r="G4" s="4"/>
    </row>
    <row r="5" spans="1:10" ht="33.75" customHeight="1" x14ac:dyDescent="0.2">
      <c r="A5" s="3">
        <v>3</v>
      </c>
      <c r="B5" s="67" t="s">
        <v>71</v>
      </c>
      <c r="C5" s="5" t="s">
        <v>4</v>
      </c>
      <c r="D5" s="5" t="s">
        <v>5</v>
      </c>
      <c r="E5" s="3" t="s">
        <v>1</v>
      </c>
      <c r="F5" s="6" t="s">
        <v>6</v>
      </c>
      <c r="G5" s="4"/>
      <c r="J5" s="19"/>
    </row>
    <row r="6" spans="1:10" ht="33" customHeight="1" x14ac:dyDescent="0.25">
      <c r="A6" s="3"/>
      <c r="B6" s="56" t="s">
        <v>64</v>
      </c>
      <c r="C6" s="7"/>
      <c r="D6" s="7"/>
      <c r="E6" s="7"/>
      <c r="F6" s="20"/>
      <c r="G6" s="4"/>
    </row>
    <row r="7" spans="1:10" ht="36.75" customHeight="1" x14ac:dyDescent="0.2">
      <c r="A7" s="3">
        <v>5</v>
      </c>
      <c r="B7" s="66" t="s">
        <v>125</v>
      </c>
      <c r="C7" s="7" t="s">
        <v>19</v>
      </c>
      <c r="D7" s="7" t="s">
        <v>69</v>
      </c>
      <c r="E7" s="7" t="s">
        <v>20</v>
      </c>
      <c r="F7" s="20" t="s">
        <v>70</v>
      </c>
      <c r="G7" s="4"/>
    </row>
    <row r="8" spans="1:10" ht="33" customHeight="1" x14ac:dyDescent="0.2">
      <c r="A8" s="3">
        <v>6</v>
      </c>
      <c r="B8" s="66" t="s">
        <v>126</v>
      </c>
      <c r="C8" s="7" t="s">
        <v>19</v>
      </c>
      <c r="D8" s="7" t="s">
        <v>69</v>
      </c>
      <c r="E8" s="7" t="s">
        <v>20</v>
      </c>
      <c r="F8" s="20" t="s">
        <v>70</v>
      </c>
      <c r="G8" s="4"/>
    </row>
    <row r="9" spans="1:10" ht="36.75" customHeight="1" x14ac:dyDescent="0.2">
      <c r="A9" s="3">
        <v>7</v>
      </c>
      <c r="B9" s="66" t="s">
        <v>68</v>
      </c>
      <c r="C9" s="7" t="s">
        <v>19</v>
      </c>
      <c r="D9" s="7" t="s">
        <v>69</v>
      </c>
      <c r="E9" s="7" t="s">
        <v>20</v>
      </c>
      <c r="F9" s="20" t="s">
        <v>70</v>
      </c>
      <c r="G9" s="4"/>
    </row>
    <row r="15" spans="1:10" x14ac:dyDescent="0.2">
      <c r="A15" t="s">
        <v>40</v>
      </c>
      <c r="B15" t="s">
        <v>40</v>
      </c>
      <c r="C15" t="s">
        <v>40</v>
      </c>
      <c r="D15" t="s">
        <v>40</v>
      </c>
      <c r="E15" t="s">
        <v>40</v>
      </c>
      <c r="F15" t="s">
        <v>40</v>
      </c>
    </row>
    <row r="16" spans="1:10" ht="17" x14ac:dyDescent="0.2">
      <c r="A16" s="5" t="s">
        <v>4</v>
      </c>
      <c r="B16" s="5" t="s">
        <v>4</v>
      </c>
      <c r="C16" s="5" t="s">
        <v>4</v>
      </c>
      <c r="D16" s="7" t="s">
        <v>19</v>
      </c>
      <c r="E16" s="7" t="s">
        <v>19</v>
      </c>
      <c r="F16" s="7" t="s">
        <v>19</v>
      </c>
    </row>
    <row r="17" spans="1:6" ht="34" x14ac:dyDescent="0.2">
      <c r="A17" s="5" t="s">
        <v>5</v>
      </c>
      <c r="B17" s="5" t="s">
        <v>5</v>
      </c>
      <c r="C17" s="5" t="s">
        <v>5</v>
      </c>
      <c r="D17" s="7" t="s">
        <v>69</v>
      </c>
      <c r="E17" s="7" t="s">
        <v>69</v>
      </c>
      <c r="F17" s="7" t="s">
        <v>69</v>
      </c>
    </row>
    <row r="18" spans="1:6" ht="51" x14ac:dyDescent="0.2">
      <c r="A18" s="3" t="s">
        <v>1</v>
      </c>
      <c r="B18" s="3" t="s">
        <v>1</v>
      </c>
      <c r="C18" s="3" t="s">
        <v>1</v>
      </c>
      <c r="D18" s="7" t="s">
        <v>20</v>
      </c>
      <c r="E18" s="7" t="s">
        <v>20</v>
      </c>
      <c r="F18" s="7" t="s">
        <v>20</v>
      </c>
    </row>
    <row r="19" spans="1:6" ht="17" x14ac:dyDescent="0.2">
      <c r="A19" s="6" t="s">
        <v>6</v>
      </c>
      <c r="B19" s="6" t="s">
        <v>6</v>
      </c>
      <c r="C19" s="6" t="s">
        <v>6</v>
      </c>
      <c r="D19" s="20" t="s">
        <v>70</v>
      </c>
      <c r="E19" s="20" t="s">
        <v>70</v>
      </c>
      <c r="F19" s="20" t="s">
        <v>70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3"/>
  <dimension ref="A1:J22"/>
  <sheetViews>
    <sheetView workbookViewId="0">
      <selection activeCell="B9" sqref="B9"/>
    </sheetView>
  </sheetViews>
  <sheetFormatPr baseColWidth="10" defaultColWidth="8.83203125" defaultRowHeight="16" x14ac:dyDescent="0.2"/>
  <cols>
    <col min="2" max="2" width="46.1640625" customWidth="1"/>
    <col min="3" max="3" width="12.33203125" customWidth="1"/>
    <col min="4" max="4" width="14.1640625" customWidth="1"/>
    <col min="5" max="5" width="15.1640625" customWidth="1"/>
    <col min="6" max="6" width="17" customWidth="1"/>
    <col min="7" max="7" width="16" customWidth="1"/>
    <col min="9" max="9" width="19.6640625" customWidth="1"/>
  </cols>
  <sheetData>
    <row r="1" spans="1:7" ht="44.25" customHeight="1" x14ac:dyDescent="0.25">
      <c r="A1" s="17"/>
      <c r="B1" s="56" t="s">
        <v>39</v>
      </c>
      <c r="C1" s="55">
        <v>1</v>
      </c>
      <c r="D1" s="55">
        <v>2</v>
      </c>
      <c r="E1" s="55">
        <v>3</v>
      </c>
      <c r="F1" s="55">
        <v>4</v>
      </c>
      <c r="G1" s="56" t="s">
        <v>18</v>
      </c>
    </row>
    <row r="2" spans="1:7" ht="28.5" customHeight="1" x14ac:dyDescent="0.25">
      <c r="A2" s="17"/>
      <c r="B2" s="56" t="s">
        <v>66</v>
      </c>
      <c r="C2" s="55"/>
      <c r="D2" s="55"/>
      <c r="E2" s="55"/>
      <c r="F2" s="62"/>
      <c r="G2" s="48"/>
    </row>
    <row r="3" spans="1:7" ht="32.25" customHeight="1" x14ac:dyDescent="0.2">
      <c r="A3" s="3"/>
      <c r="B3" s="66" t="s">
        <v>77</v>
      </c>
      <c r="C3" s="5" t="s">
        <v>41</v>
      </c>
      <c r="D3" s="5" t="s">
        <v>10</v>
      </c>
      <c r="E3" s="5" t="s">
        <v>11</v>
      </c>
      <c r="F3" s="11" t="s">
        <v>12</v>
      </c>
      <c r="G3" s="4"/>
    </row>
    <row r="4" spans="1:7" ht="31.5" customHeight="1" x14ac:dyDescent="0.2">
      <c r="A4" s="3"/>
      <c r="B4" s="67" t="s">
        <v>78</v>
      </c>
      <c r="C4" s="5" t="s">
        <v>92</v>
      </c>
      <c r="D4" s="5" t="s">
        <v>93</v>
      </c>
      <c r="E4" s="5" t="s">
        <v>94</v>
      </c>
      <c r="F4" s="11" t="s">
        <v>42</v>
      </c>
      <c r="G4" s="4"/>
    </row>
    <row r="5" spans="1:7" ht="31.5" customHeight="1" x14ac:dyDescent="0.2">
      <c r="A5" s="3"/>
      <c r="B5" s="67" t="s">
        <v>79</v>
      </c>
      <c r="C5" s="5" t="s">
        <v>95</v>
      </c>
      <c r="D5" s="5" t="s">
        <v>96</v>
      </c>
      <c r="E5" s="5" t="s">
        <v>97</v>
      </c>
      <c r="F5" s="11" t="s">
        <v>73</v>
      </c>
      <c r="G5" s="4"/>
    </row>
    <row r="6" spans="1:7" ht="31.5" customHeight="1" x14ac:dyDescent="0.2">
      <c r="A6" s="3"/>
      <c r="B6" s="67" t="s">
        <v>81</v>
      </c>
      <c r="C6" s="5" t="s">
        <v>98</v>
      </c>
      <c r="D6" s="5" t="s">
        <v>99</v>
      </c>
      <c r="E6" s="5" t="s">
        <v>100</v>
      </c>
      <c r="F6" s="11" t="s">
        <v>101</v>
      </c>
      <c r="G6" s="4"/>
    </row>
    <row r="7" spans="1:7" ht="31.5" customHeight="1" x14ac:dyDescent="0.2">
      <c r="A7" s="3"/>
      <c r="B7" s="67" t="s">
        <v>76</v>
      </c>
      <c r="C7" s="5" t="s">
        <v>102</v>
      </c>
      <c r="D7" s="5" t="s">
        <v>103</v>
      </c>
      <c r="E7" s="5" t="s">
        <v>104</v>
      </c>
      <c r="F7" s="11" t="s">
        <v>105</v>
      </c>
      <c r="G7" s="4"/>
    </row>
    <row r="8" spans="1:7" ht="51.75" customHeight="1" x14ac:dyDescent="0.2">
      <c r="A8" s="3"/>
      <c r="B8" s="67" t="s">
        <v>80</v>
      </c>
      <c r="C8" s="5" t="s">
        <v>106</v>
      </c>
      <c r="D8" s="5" t="s">
        <v>107</v>
      </c>
      <c r="E8" s="5" t="s">
        <v>108</v>
      </c>
      <c r="F8" s="11" t="s">
        <v>109</v>
      </c>
      <c r="G8" s="4"/>
    </row>
    <row r="9" spans="1:7" ht="31.5" customHeight="1" x14ac:dyDescent="0.2">
      <c r="A9" s="3"/>
      <c r="B9" s="67" t="s">
        <v>127</v>
      </c>
      <c r="C9" s="5" t="s">
        <v>113</v>
      </c>
      <c r="D9" s="5" t="s">
        <v>110</v>
      </c>
      <c r="E9" s="5" t="s">
        <v>112</v>
      </c>
      <c r="F9" s="11" t="s">
        <v>111</v>
      </c>
      <c r="G9" s="4"/>
    </row>
    <row r="10" spans="1:7" ht="33" customHeight="1" x14ac:dyDescent="0.25">
      <c r="A10" s="3"/>
      <c r="B10" s="56" t="s">
        <v>67</v>
      </c>
      <c r="C10" s="7"/>
      <c r="D10" s="7"/>
      <c r="E10" s="7"/>
      <c r="F10" s="20"/>
      <c r="G10" s="4"/>
    </row>
    <row r="11" spans="1:7" ht="48.75" customHeight="1" x14ac:dyDescent="0.2">
      <c r="A11" s="3"/>
      <c r="B11" s="66" t="s">
        <v>82</v>
      </c>
      <c r="C11" s="7" t="s">
        <v>114</v>
      </c>
      <c r="D11" s="7" t="s">
        <v>115</v>
      </c>
      <c r="E11" s="7" t="s">
        <v>116</v>
      </c>
      <c r="F11" s="20" t="s">
        <v>117</v>
      </c>
      <c r="G11" s="4"/>
    </row>
    <row r="12" spans="1:7" ht="36.75" customHeight="1" x14ac:dyDescent="0.2">
      <c r="A12" s="3"/>
      <c r="B12" s="67" t="s">
        <v>83</v>
      </c>
      <c r="C12" s="7" t="s">
        <v>118</v>
      </c>
      <c r="D12" s="7" t="s">
        <v>121</v>
      </c>
      <c r="E12" s="7" t="s">
        <v>120</v>
      </c>
      <c r="F12" s="20" t="s">
        <v>119</v>
      </c>
      <c r="G12" s="4"/>
    </row>
    <row r="18" spans="1:10" x14ac:dyDescent="0.2">
      <c r="A18" t="s">
        <v>40</v>
      </c>
      <c r="B18" t="s">
        <v>40</v>
      </c>
      <c r="C18" t="s">
        <v>40</v>
      </c>
      <c r="D18" t="s">
        <v>40</v>
      </c>
      <c r="E18" t="s">
        <v>40</v>
      </c>
      <c r="F18" t="s">
        <v>40</v>
      </c>
      <c r="G18" t="s">
        <v>40</v>
      </c>
      <c r="I18" t="s">
        <v>40</v>
      </c>
      <c r="J18" t="s">
        <v>40</v>
      </c>
    </row>
    <row r="19" spans="1:10" ht="119" x14ac:dyDescent="0.2">
      <c r="A19" s="5" t="s">
        <v>41</v>
      </c>
      <c r="B19" s="5" t="s">
        <v>92</v>
      </c>
      <c r="C19" s="5" t="s">
        <v>95</v>
      </c>
      <c r="D19" s="5" t="s">
        <v>98</v>
      </c>
      <c r="E19" s="5" t="s">
        <v>102</v>
      </c>
      <c r="F19" s="5" t="s">
        <v>106</v>
      </c>
      <c r="G19" s="5" t="s">
        <v>113</v>
      </c>
      <c r="I19" s="7" t="s">
        <v>114</v>
      </c>
      <c r="J19" s="7" t="s">
        <v>118</v>
      </c>
    </row>
    <row r="20" spans="1:10" ht="102" x14ac:dyDescent="0.2">
      <c r="A20" s="5" t="s">
        <v>10</v>
      </c>
      <c r="B20" s="5" t="s">
        <v>93</v>
      </c>
      <c r="C20" s="5" t="s">
        <v>96</v>
      </c>
      <c r="D20" s="5" t="s">
        <v>99</v>
      </c>
      <c r="E20" s="5" t="s">
        <v>103</v>
      </c>
      <c r="F20" s="5" t="s">
        <v>107</v>
      </c>
      <c r="G20" s="5" t="s">
        <v>110</v>
      </c>
      <c r="I20" s="7" t="s">
        <v>115</v>
      </c>
      <c r="J20" s="7" t="s">
        <v>121</v>
      </c>
    </row>
    <row r="21" spans="1:10" ht="119" x14ac:dyDescent="0.2">
      <c r="A21" s="5" t="s">
        <v>11</v>
      </c>
      <c r="B21" s="5" t="s">
        <v>94</v>
      </c>
      <c r="C21" s="5" t="s">
        <v>97</v>
      </c>
      <c r="D21" s="5" t="s">
        <v>100</v>
      </c>
      <c r="E21" s="5" t="s">
        <v>104</v>
      </c>
      <c r="F21" s="5" t="s">
        <v>108</v>
      </c>
      <c r="G21" s="5" t="s">
        <v>112</v>
      </c>
      <c r="I21" s="7" t="s">
        <v>116</v>
      </c>
      <c r="J21" s="7" t="s">
        <v>120</v>
      </c>
    </row>
    <row r="22" spans="1:10" ht="136" x14ac:dyDescent="0.2">
      <c r="A22" s="11" t="s">
        <v>12</v>
      </c>
      <c r="B22" s="11" t="s">
        <v>42</v>
      </c>
      <c r="C22" s="11" t="s">
        <v>73</v>
      </c>
      <c r="D22" s="11" t="s">
        <v>101</v>
      </c>
      <c r="E22" s="11" t="s">
        <v>105</v>
      </c>
      <c r="F22" s="11" t="s">
        <v>109</v>
      </c>
      <c r="G22" s="11" t="s">
        <v>111</v>
      </c>
      <c r="I22" s="20" t="s">
        <v>117</v>
      </c>
      <c r="J22" s="20" t="s">
        <v>119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/>
  <dimension ref="A1:J15"/>
  <sheetViews>
    <sheetView workbookViewId="0">
      <selection activeCell="E5" sqref="E5"/>
    </sheetView>
  </sheetViews>
  <sheetFormatPr baseColWidth="10" defaultColWidth="8.83203125" defaultRowHeight="16" x14ac:dyDescent="0.2"/>
  <cols>
    <col min="2" max="2" width="12.1640625" customWidth="1"/>
    <col min="3" max="3" width="16.83203125" customWidth="1"/>
    <col min="6" max="6" width="30.6640625" customWidth="1"/>
  </cols>
  <sheetData>
    <row r="1" spans="1:10" ht="17" thickBot="1" x14ac:dyDescent="0.25">
      <c r="A1" s="21"/>
      <c r="B1" s="21"/>
      <c r="C1" s="101" t="s">
        <v>21</v>
      </c>
      <c r="D1" s="102"/>
      <c r="E1" s="102"/>
      <c r="F1" s="103"/>
    </row>
    <row r="2" spans="1:10" ht="17" thickBot="1" x14ac:dyDescent="0.25">
      <c r="A2" s="21"/>
      <c r="B2" s="21"/>
      <c r="C2" s="22" t="s">
        <v>22</v>
      </c>
      <c r="D2" s="23" t="s">
        <v>122</v>
      </c>
      <c r="E2" s="23" t="s">
        <v>23</v>
      </c>
      <c r="F2" s="24" t="s">
        <v>24</v>
      </c>
    </row>
    <row r="3" spans="1:10" ht="61.5" customHeight="1" x14ac:dyDescent="0.2">
      <c r="A3" s="104" t="s">
        <v>25</v>
      </c>
      <c r="B3" s="25" t="s">
        <v>26</v>
      </c>
      <c r="C3" s="26" t="s">
        <v>27</v>
      </c>
      <c r="D3" s="27" t="s">
        <v>28</v>
      </c>
      <c r="E3" s="27" t="s">
        <v>28</v>
      </c>
      <c r="F3" s="28" t="s">
        <v>28</v>
      </c>
    </row>
    <row r="4" spans="1:10" ht="66" customHeight="1" x14ac:dyDescent="0.2">
      <c r="A4" s="105"/>
      <c r="B4" s="29" t="s">
        <v>29</v>
      </c>
      <c r="C4" s="30" t="s">
        <v>27</v>
      </c>
      <c r="D4" s="31" t="s">
        <v>28</v>
      </c>
      <c r="E4" s="31" t="s">
        <v>28</v>
      </c>
      <c r="F4" s="32" t="s">
        <v>28</v>
      </c>
    </row>
    <row r="5" spans="1:10" ht="89.25" customHeight="1" x14ac:dyDescent="0.2">
      <c r="A5" s="105"/>
      <c r="B5" s="29" t="s">
        <v>30</v>
      </c>
      <c r="C5" s="30" t="s">
        <v>31</v>
      </c>
      <c r="D5" s="33" t="s">
        <v>32</v>
      </c>
      <c r="E5" s="33" t="s">
        <v>32</v>
      </c>
      <c r="F5" s="34" t="s">
        <v>32</v>
      </c>
    </row>
    <row r="6" spans="1:10" ht="81" customHeight="1" thickBot="1" x14ac:dyDescent="0.25">
      <c r="A6" s="106"/>
      <c r="B6" s="35" t="s">
        <v>33</v>
      </c>
      <c r="C6" s="36" t="s">
        <v>34</v>
      </c>
      <c r="D6" s="37" t="s">
        <v>32</v>
      </c>
      <c r="E6" s="38" t="s">
        <v>24</v>
      </c>
      <c r="F6" s="39" t="s">
        <v>24</v>
      </c>
    </row>
    <row r="10" spans="1:10" ht="17" thickBot="1" x14ac:dyDescent="0.25">
      <c r="H10" t="s">
        <v>30</v>
      </c>
      <c r="I10" t="s">
        <v>23</v>
      </c>
      <c r="J10" t="str">
        <f>VLOOKUP(H10, $A$11:$E$15, MATCH(I10, $A$11:$E$11, 0), FALSE)</f>
        <v>Preferred</v>
      </c>
    </row>
    <row r="11" spans="1:10" ht="17" thickBot="1" x14ac:dyDescent="0.25">
      <c r="B11" s="22" t="s">
        <v>22</v>
      </c>
      <c r="C11" s="23" t="s">
        <v>122</v>
      </c>
      <c r="D11" s="23" t="s">
        <v>23</v>
      </c>
      <c r="E11" s="24" t="s">
        <v>24</v>
      </c>
    </row>
    <row r="12" spans="1:10" ht="27" customHeight="1" x14ac:dyDescent="0.2">
      <c r="A12" s="25" t="s">
        <v>26</v>
      </c>
      <c r="B12" t="s">
        <v>45</v>
      </c>
      <c r="C12" t="s">
        <v>28</v>
      </c>
      <c r="D12" t="s">
        <v>28</v>
      </c>
      <c r="E12" t="s">
        <v>28</v>
      </c>
    </row>
    <row r="13" spans="1:10" ht="30" customHeight="1" x14ac:dyDescent="0.2">
      <c r="A13" s="29" t="s">
        <v>29</v>
      </c>
      <c r="B13" t="s">
        <v>45</v>
      </c>
      <c r="C13" t="s">
        <v>28</v>
      </c>
      <c r="D13" t="s">
        <v>28</v>
      </c>
      <c r="E13" t="s">
        <v>28</v>
      </c>
    </row>
    <row r="14" spans="1:10" ht="45.75" customHeight="1" x14ac:dyDescent="0.2">
      <c r="A14" s="29" t="s">
        <v>30</v>
      </c>
      <c r="B14" t="s">
        <v>45</v>
      </c>
      <c r="C14" t="s">
        <v>32</v>
      </c>
      <c r="D14" t="s">
        <v>32</v>
      </c>
      <c r="E14" t="s">
        <v>32</v>
      </c>
    </row>
    <row r="15" spans="1:10" ht="17" thickBot="1" x14ac:dyDescent="0.25">
      <c r="A15" s="35" t="s">
        <v>33</v>
      </c>
      <c r="B15" t="s">
        <v>45</v>
      </c>
      <c r="C15" t="s">
        <v>32</v>
      </c>
      <c r="D15" t="s">
        <v>24</v>
      </c>
      <c r="E15" t="s">
        <v>24</v>
      </c>
    </row>
  </sheetData>
  <mergeCells count="2">
    <mergeCell ref="C1:F1"/>
    <mergeCell ref="A3:A6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2:D2"/>
  <sheetViews>
    <sheetView workbookViewId="0">
      <selection activeCell="B3" sqref="B3"/>
    </sheetView>
  </sheetViews>
  <sheetFormatPr baseColWidth="10" defaultColWidth="8.83203125" defaultRowHeight="16" x14ac:dyDescent="0.2"/>
  <cols>
    <col min="1" max="1" width="15.6640625" customWidth="1"/>
    <col min="3" max="3" width="12.6640625" customWidth="1"/>
    <col min="4" max="4" width="12.1640625" customWidth="1"/>
    <col min="5" max="5" width="14.33203125" customWidth="1"/>
    <col min="6" max="6" width="14.83203125" customWidth="1"/>
    <col min="7" max="7" width="14.6640625" customWidth="1"/>
    <col min="8" max="8" width="13.6640625" customWidth="1"/>
    <col min="9" max="9" width="18.33203125" customWidth="1"/>
    <col min="10" max="10" width="14.6640625" customWidth="1"/>
    <col min="11" max="11" width="12.1640625" customWidth="1"/>
    <col min="12" max="12" width="14.33203125" customWidth="1"/>
  </cols>
  <sheetData>
    <row r="2" spans="1:4" x14ac:dyDescent="0.2">
      <c r="A2" t="s">
        <v>128</v>
      </c>
      <c r="B2">
        <v>22</v>
      </c>
      <c r="C2">
        <v>19</v>
      </c>
      <c r="D2" t="s">
        <v>133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2:E5"/>
  <sheetViews>
    <sheetView workbookViewId="0">
      <selection activeCell="B3" sqref="B3"/>
    </sheetView>
  </sheetViews>
  <sheetFormatPr baseColWidth="10" defaultColWidth="8.83203125" defaultRowHeight="16" x14ac:dyDescent="0.2"/>
  <cols>
    <col min="1" max="1" width="15" customWidth="1"/>
    <col min="3" max="3" width="14.1640625" customWidth="1"/>
    <col min="4" max="4" width="24.5" customWidth="1"/>
    <col min="5" max="5" width="23.1640625" customWidth="1"/>
    <col min="6" max="6" width="19" customWidth="1"/>
  </cols>
  <sheetData>
    <row r="2" spans="1:5" x14ac:dyDescent="0.2">
      <c r="A2" t="s">
        <v>134</v>
      </c>
      <c r="B2">
        <v>6</v>
      </c>
      <c r="C2">
        <v>18</v>
      </c>
      <c r="D2" t="s">
        <v>155</v>
      </c>
      <c r="E2" t="s">
        <v>32</v>
      </c>
    </row>
    <row r="3" spans="1:5" x14ac:dyDescent="0.2">
      <c r="A3" t="s">
        <v>146</v>
      </c>
      <c r="B3">
        <v>6</v>
      </c>
      <c r="C3">
        <v>16</v>
      </c>
      <c r="D3" t="s">
        <v>157</v>
      </c>
      <c r="E3" t="s">
        <v>32</v>
      </c>
    </row>
    <row r="4" spans="1:5" x14ac:dyDescent="0.2">
      <c r="A4" t="s">
        <v>147</v>
      </c>
      <c r="B4">
        <v>10</v>
      </c>
      <c r="C4">
        <v>22</v>
      </c>
      <c r="D4" t="s">
        <v>159</v>
      </c>
      <c r="E4" t="s">
        <v>32</v>
      </c>
    </row>
    <row r="5" spans="1:5" x14ac:dyDescent="0.2">
      <c r="A5" t="s">
        <v>153</v>
      </c>
      <c r="B5">
        <v>10</v>
      </c>
      <c r="C5">
        <v>24</v>
      </c>
      <c r="D5" t="s">
        <v>161</v>
      </c>
      <c r="E5" t="s">
        <v>32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2:C5"/>
  <sheetViews>
    <sheetView workbookViewId="0">
      <selection activeCell="B3" sqref="B3"/>
    </sheetView>
  </sheetViews>
  <sheetFormatPr baseColWidth="10" defaultColWidth="8.83203125" defaultRowHeight="16" x14ac:dyDescent="0.2"/>
  <sheetData>
    <row r="2" spans="1:3" x14ac:dyDescent="0.2">
      <c r="A2" t="s">
        <v>134</v>
      </c>
      <c r="B2">
        <v>35.9375</v>
      </c>
      <c r="C2">
        <v>75</v>
      </c>
    </row>
    <row r="3" spans="1:3" x14ac:dyDescent="0.2">
      <c r="A3" t="s">
        <v>146</v>
      </c>
      <c r="B3">
        <v>45.3125</v>
      </c>
      <c r="C3">
        <v>75</v>
      </c>
    </row>
    <row r="4" spans="1:3" x14ac:dyDescent="0.2">
      <c r="A4" t="s">
        <v>147</v>
      </c>
      <c r="B4">
        <v>56.25</v>
      </c>
      <c r="C4">
        <v>75</v>
      </c>
    </row>
    <row r="5" spans="1:3" x14ac:dyDescent="0.2">
      <c r="A5" t="s">
        <v>153</v>
      </c>
      <c r="B5">
        <v>62.5</v>
      </c>
      <c r="C5">
        <v>77.777777777777786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</vt:i4>
      </vt:variant>
    </vt:vector>
  </HeadingPairs>
  <TitlesOfParts>
    <vt:vector size="20" baseType="lpstr">
      <vt:lpstr>Dashboard</vt:lpstr>
      <vt:lpstr>Category&gt; Semiconductors</vt:lpstr>
      <vt:lpstr>Category_Template</vt:lpstr>
      <vt:lpstr>Supplier&gt; Samsung Inc.</vt:lpstr>
      <vt:lpstr>Supplier&gt; Qualcomm Inc.</vt:lpstr>
      <vt:lpstr>Supplier&gt; Intel Inc.</vt:lpstr>
      <vt:lpstr>Supplier&gt; Huawei Inc.</vt:lpstr>
      <vt:lpstr>Supplier_Template</vt:lpstr>
      <vt:lpstr>CS_Lookup</vt:lpstr>
      <vt:lpstr>SP_Lookup</vt:lpstr>
      <vt:lpstr>RM_Lookup</vt:lpstr>
      <vt:lpstr>SS_Lookup</vt:lpstr>
      <vt:lpstr>Category_Data</vt:lpstr>
      <vt:lpstr>Preference_Data</vt:lpstr>
      <vt:lpstr>Heatmap_Data</vt:lpstr>
      <vt:lpstr>'Supplier&gt; Huawei Inc.'!SPRange</vt:lpstr>
      <vt:lpstr>'Supplier&gt; Intel Inc.'!SPRange</vt:lpstr>
      <vt:lpstr>'Supplier&gt; Qualcomm Inc.'!SPRange</vt:lpstr>
      <vt:lpstr>'Supplier&gt; Samsung Inc.'!SPRange</vt:lpstr>
      <vt:lpstr>SPRange</vt:lpstr>
    </vt:vector>
  </TitlesOfParts>
  <Company>NC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 HANDFIELD</dc:creator>
  <cp:lastModifiedBy>Dhana Surya Perumalsamy</cp:lastModifiedBy>
  <cp:lastPrinted>2012-09-21T16:26:18Z</cp:lastPrinted>
  <dcterms:created xsi:type="dcterms:W3CDTF">2012-08-07T17:44:31Z</dcterms:created>
  <dcterms:modified xsi:type="dcterms:W3CDTF">2023-10-11T22:07:23Z</dcterms:modified>
</cp:coreProperties>
</file>